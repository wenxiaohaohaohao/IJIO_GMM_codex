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lrichd\Documents\ces\"/>
    </mc:Choice>
  </mc:AlternateContent>
  <bookViews>
    <workbookView xWindow="0" yWindow="140" windowWidth="23960" windowHeight="11310" activeTab="4"/>
  </bookViews>
  <sheets>
    <sheet name="Sheet1" sheetId="1" r:id="rId1"/>
    <sheet name="Sheet2" sheetId="2" r:id="rId2"/>
    <sheet name="Chart1" sheetId="4" r:id="rId3"/>
    <sheet name="Chart2" sheetId="9" r:id="rId4"/>
    <sheet name="Chart3" sheetId="7" r:id="rId5"/>
  </sheets>
  <definedNames>
    <definedName name="_xlnm.Print_Area" localSheetId="1">Sheet2!$A$1:$AE$113</definedName>
  </definedNames>
  <calcPr calcId="152511"/>
</workbook>
</file>

<file path=xl/calcChain.xml><?xml version="1.0" encoding="utf-8"?>
<calcChain xmlns="http://schemas.openxmlformats.org/spreadsheetml/2006/main">
  <c r="T85" i="2" l="1"/>
  <c r="T96" i="2" s="1"/>
  <c r="P85" i="2"/>
  <c r="P96" i="2" s="1"/>
  <c r="L85" i="2"/>
  <c r="L96" i="2" s="1"/>
  <c r="H85" i="2"/>
  <c r="H96" i="2" s="1"/>
  <c r="T84" i="2"/>
  <c r="T95" i="2" s="1"/>
  <c r="P84" i="2"/>
  <c r="P95" i="2" s="1"/>
  <c r="L84" i="2"/>
  <c r="L95" i="2" s="1"/>
  <c r="H84" i="2"/>
  <c r="H95" i="2" s="1"/>
  <c r="T83" i="2"/>
  <c r="T94" i="2" s="1"/>
  <c r="P83" i="2"/>
  <c r="P94" i="2" s="1"/>
  <c r="L83" i="2"/>
  <c r="L94" i="2" s="1"/>
  <c r="H83" i="2"/>
  <c r="H94" i="2" s="1"/>
  <c r="T82" i="2"/>
  <c r="T93" i="2" s="1"/>
  <c r="P82" i="2"/>
  <c r="P93" i="2" s="1"/>
  <c r="L82" i="2"/>
  <c r="L93" i="2" s="1"/>
  <c r="H82" i="2"/>
  <c r="H93" i="2" s="1"/>
  <c r="T81" i="2"/>
  <c r="T92" i="2" s="1"/>
  <c r="P81" i="2"/>
  <c r="P92" i="2" s="1"/>
  <c r="L81" i="2"/>
  <c r="L92" i="2" s="1"/>
  <c r="H81" i="2"/>
  <c r="H92" i="2" s="1"/>
  <c r="T80" i="2"/>
  <c r="T91" i="2" s="1"/>
  <c r="P80" i="2"/>
  <c r="P91" i="2" s="1"/>
  <c r="L80" i="2"/>
  <c r="L91" i="2" s="1"/>
  <c r="H80" i="2"/>
  <c r="H91" i="2" s="1"/>
  <c r="T79" i="2"/>
  <c r="T90" i="2" s="1"/>
  <c r="P79" i="2"/>
  <c r="P90" i="2" s="1"/>
  <c r="L79" i="2"/>
  <c r="L90" i="2" s="1"/>
  <c r="H79" i="2"/>
  <c r="H90" i="2" s="1"/>
  <c r="T78" i="2"/>
  <c r="T89" i="2" s="1"/>
  <c r="P78" i="2"/>
  <c r="P89" i="2" s="1"/>
  <c r="L78" i="2"/>
  <c r="L89" i="2" s="1"/>
  <c r="H78" i="2"/>
  <c r="H89" i="2" s="1"/>
  <c r="T77" i="2"/>
  <c r="T88" i="2" s="1"/>
  <c r="P77" i="2"/>
  <c r="P88" i="2" s="1"/>
  <c r="L77" i="2"/>
  <c r="L88" i="2" s="1"/>
  <c r="H77" i="2"/>
  <c r="H88" i="2" s="1"/>
  <c r="T76" i="2"/>
  <c r="T87" i="2" s="1"/>
  <c r="T98" i="2" s="1"/>
  <c r="P76" i="2"/>
  <c r="P87" i="2" s="1"/>
  <c r="L76" i="2"/>
  <c r="L87" i="2" s="1"/>
  <c r="L98" i="2" s="1"/>
  <c r="H76" i="2"/>
  <c r="H87" i="2" s="1"/>
  <c r="H98" i="2" s="1"/>
  <c r="S60" i="1"/>
  <c r="S59" i="1"/>
  <c r="S58" i="1"/>
  <c r="S57" i="1"/>
  <c r="S56" i="1"/>
  <c r="S55" i="1"/>
  <c r="S54" i="1"/>
  <c r="S53" i="1"/>
  <c r="S52" i="1"/>
  <c r="S51" i="1"/>
  <c r="B35" i="2"/>
  <c r="V44" i="2" s="1"/>
  <c r="I76" i="2" l="1"/>
  <c r="I87" i="2" s="1"/>
  <c r="M76" i="2"/>
  <c r="M87" i="2" s="1"/>
  <c r="Q76" i="2"/>
  <c r="Q87" i="2" s="1"/>
  <c r="U76" i="2"/>
  <c r="U87" i="2" s="1"/>
  <c r="I77" i="2"/>
  <c r="I88" i="2" s="1"/>
  <c r="M77" i="2"/>
  <c r="M88" i="2" s="1"/>
  <c r="Q77" i="2"/>
  <c r="Q88" i="2" s="1"/>
  <c r="U77" i="2"/>
  <c r="U88" i="2" s="1"/>
  <c r="I78" i="2"/>
  <c r="I89" i="2" s="1"/>
  <c r="M78" i="2"/>
  <c r="M89" i="2" s="1"/>
  <c r="Q78" i="2"/>
  <c r="Q89" i="2" s="1"/>
  <c r="U78" i="2"/>
  <c r="U89" i="2" s="1"/>
  <c r="I79" i="2"/>
  <c r="I90" i="2" s="1"/>
  <c r="M79" i="2"/>
  <c r="M90" i="2" s="1"/>
  <c r="Q79" i="2"/>
  <c r="Q90" i="2" s="1"/>
  <c r="U79" i="2"/>
  <c r="U90" i="2" s="1"/>
  <c r="I80" i="2"/>
  <c r="I91" i="2" s="1"/>
  <c r="M80" i="2"/>
  <c r="M91" i="2" s="1"/>
  <c r="Q80" i="2"/>
  <c r="Q91" i="2" s="1"/>
  <c r="U80" i="2"/>
  <c r="U91" i="2" s="1"/>
  <c r="I81" i="2"/>
  <c r="I92" i="2" s="1"/>
  <c r="M81" i="2"/>
  <c r="M92" i="2" s="1"/>
  <c r="Q81" i="2"/>
  <c r="Q92" i="2" s="1"/>
  <c r="U81" i="2"/>
  <c r="U92" i="2" s="1"/>
  <c r="I82" i="2"/>
  <c r="I93" i="2" s="1"/>
  <c r="M82" i="2"/>
  <c r="M93" i="2" s="1"/>
  <c r="Q82" i="2"/>
  <c r="Q93" i="2" s="1"/>
  <c r="U82" i="2"/>
  <c r="U93" i="2" s="1"/>
  <c r="I83" i="2"/>
  <c r="I94" i="2" s="1"/>
  <c r="M83" i="2"/>
  <c r="M94" i="2" s="1"/>
  <c r="Q83" i="2"/>
  <c r="Q94" i="2" s="1"/>
  <c r="U83" i="2"/>
  <c r="U94" i="2" s="1"/>
  <c r="I84" i="2"/>
  <c r="I95" i="2" s="1"/>
  <c r="M84" i="2"/>
  <c r="M95" i="2" s="1"/>
  <c r="Q84" i="2"/>
  <c r="Q95" i="2" s="1"/>
  <c r="U84" i="2"/>
  <c r="U95" i="2" s="1"/>
  <c r="I85" i="2"/>
  <c r="I96" i="2" s="1"/>
  <c r="M85" i="2"/>
  <c r="M96" i="2" s="1"/>
  <c r="Q85" i="2"/>
  <c r="Q96" i="2" s="1"/>
  <c r="U85" i="2"/>
  <c r="U96" i="2" s="1"/>
  <c r="J76" i="2"/>
  <c r="J87" i="2" s="1"/>
  <c r="N76" i="2"/>
  <c r="N87" i="2" s="1"/>
  <c r="R76" i="2"/>
  <c r="R87" i="2" s="1"/>
  <c r="V76" i="2"/>
  <c r="V87" i="2" s="1"/>
  <c r="J77" i="2"/>
  <c r="J88" i="2" s="1"/>
  <c r="N77" i="2"/>
  <c r="N88" i="2" s="1"/>
  <c r="R77" i="2"/>
  <c r="R88" i="2" s="1"/>
  <c r="V77" i="2"/>
  <c r="V88" i="2" s="1"/>
  <c r="J78" i="2"/>
  <c r="J89" i="2" s="1"/>
  <c r="N78" i="2"/>
  <c r="N89" i="2" s="1"/>
  <c r="R78" i="2"/>
  <c r="R89" i="2" s="1"/>
  <c r="V78" i="2"/>
  <c r="V89" i="2" s="1"/>
  <c r="J79" i="2"/>
  <c r="J90" i="2" s="1"/>
  <c r="N79" i="2"/>
  <c r="N90" i="2" s="1"/>
  <c r="R79" i="2"/>
  <c r="R90" i="2" s="1"/>
  <c r="V79" i="2"/>
  <c r="V90" i="2" s="1"/>
  <c r="J80" i="2"/>
  <c r="J91" i="2" s="1"/>
  <c r="N80" i="2"/>
  <c r="N91" i="2" s="1"/>
  <c r="R80" i="2"/>
  <c r="R91" i="2" s="1"/>
  <c r="V80" i="2"/>
  <c r="V91" i="2" s="1"/>
  <c r="J81" i="2"/>
  <c r="J92" i="2" s="1"/>
  <c r="N81" i="2"/>
  <c r="N92" i="2" s="1"/>
  <c r="R81" i="2"/>
  <c r="R92" i="2" s="1"/>
  <c r="V81" i="2"/>
  <c r="V92" i="2" s="1"/>
  <c r="J82" i="2"/>
  <c r="J93" i="2" s="1"/>
  <c r="N82" i="2"/>
  <c r="N93" i="2" s="1"/>
  <c r="R82" i="2"/>
  <c r="R93" i="2" s="1"/>
  <c r="V82" i="2"/>
  <c r="V93" i="2" s="1"/>
  <c r="J83" i="2"/>
  <c r="J94" i="2" s="1"/>
  <c r="N83" i="2"/>
  <c r="N94" i="2" s="1"/>
  <c r="R83" i="2"/>
  <c r="R94" i="2" s="1"/>
  <c r="V83" i="2"/>
  <c r="V94" i="2" s="1"/>
  <c r="J84" i="2"/>
  <c r="J95" i="2" s="1"/>
  <c r="N84" i="2"/>
  <c r="N95" i="2" s="1"/>
  <c r="R84" i="2"/>
  <c r="R95" i="2" s="1"/>
  <c r="V84" i="2"/>
  <c r="V95" i="2" s="1"/>
  <c r="J85" i="2"/>
  <c r="J96" i="2" s="1"/>
  <c r="N85" i="2"/>
  <c r="N96" i="2" s="1"/>
  <c r="R85" i="2"/>
  <c r="R96" i="2" s="1"/>
  <c r="V85" i="2"/>
  <c r="V96" i="2" s="1"/>
  <c r="K76" i="2"/>
  <c r="K87" i="2" s="1"/>
  <c r="O76" i="2"/>
  <c r="O87" i="2" s="1"/>
  <c r="S76" i="2"/>
  <c r="S87" i="2" s="1"/>
  <c r="W76" i="2"/>
  <c r="W87" i="2" s="1"/>
  <c r="K77" i="2"/>
  <c r="K88" i="2" s="1"/>
  <c r="O77" i="2"/>
  <c r="O88" i="2" s="1"/>
  <c r="S77" i="2"/>
  <c r="S88" i="2" s="1"/>
  <c r="W77" i="2"/>
  <c r="W88" i="2" s="1"/>
  <c r="K78" i="2"/>
  <c r="K89" i="2" s="1"/>
  <c r="O78" i="2"/>
  <c r="O89" i="2" s="1"/>
  <c r="S78" i="2"/>
  <c r="S89" i="2" s="1"/>
  <c r="W78" i="2"/>
  <c r="W89" i="2" s="1"/>
  <c r="K79" i="2"/>
  <c r="K90" i="2" s="1"/>
  <c r="O79" i="2"/>
  <c r="O90" i="2" s="1"/>
  <c r="S79" i="2"/>
  <c r="S90" i="2" s="1"/>
  <c r="W79" i="2"/>
  <c r="W90" i="2" s="1"/>
  <c r="K80" i="2"/>
  <c r="K91" i="2" s="1"/>
  <c r="O80" i="2"/>
  <c r="O91" i="2" s="1"/>
  <c r="S80" i="2"/>
  <c r="S91" i="2" s="1"/>
  <c r="W80" i="2"/>
  <c r="W91" i="2" s="1"/>
  <c r="K81" i="2"/>
  <c r="K92" i="2" s="1"/>
  <c r="O81" i="2"/>
  <c r="O92" i="2" s="1"/>
  <c r="S81" i="2"/>
  <c r="S92" i="2" s="1"/>
  <c r="W81" i="2"/>
  <c r="W92" i="2" s="1"/>
  <c r="K82" i="2"/>
  <c r="K93" i="2" s="1"/>
  <c r="O82" i="2"/>
  <c r="O93" i="2" s="1"/>
  <c r="S82" i="2"/>
  <c r="S93" i="2" s="1"/>
  <c r="W82" i="2"/>
  <c r="W93" i="2" s="1"/>
  <c r="K83" i="2"/>
  <c r="K94" i="2" s="1"/>
  <c r="O83" i="2"/>
  <c r="O94" i="2" s="1"/>
  <c r="S83" i="2"/>
  <c r="S94" i="2" s="1"/>
  <c r="W83" i="2"/>
  <c r="W94" i="2" s="1"/>
  <c r="K84" i="2"/>
  <c r="K95" i="2" s="1"/>
  <c r="O84" i="2"/>
  <c r="O95" i="2" s="1"/>
  <c r="S84" i="2"/>
  <c r="S95" i="2" s="1"/>
  <c r="W84" i="2"/>
  <c r="W95" i="2" s="1"/>
  <c r="K85" i="2"/>
  <c r="K96" i="2" s="1"/>
  <c r="O85" i="2"/>
  <c r="O96" i="2" s="1"/>
  <c r="S85" i="2"/>
  <c r="S96" i="2" s="1"/>
  <c r="W85" i="2"/>
  <c r="W96" i="2" s="1"/>
  <c r="J98" i="2"/>
  <c r="P98" i="2"/>
  <c r="H100" i="2"/>
  <c r="S35" i="2"/>
  <c r="O36" i="2"/>
  <c r="W36" i="2"/>
  <c r="S37" i="2"/>
  <c r="W38" i="2"/>
  <c r="S39" i="2"/>
  <c r="O40" i="2"/>
  <c r="W40" i="2"/>
  <c r="S41" i="2"/>
  <c r="O42" i="2"/>
  <c r="W42" i="2"/>
  <c r="O43" i="2"/>
  <c r="W43" i="2"/>
  <c r="K44" i="2"/>
  <c r="O44" i="2"/>
  <c r="S44" i="2"/>
  <c r="W44" i="2"/>
  <c r="H35" i="2"/>
  <c r="L35" i="2"/>
  <c r="P35" i="2"/>
  <c r="T35" i="2"/>
  <c r="H36" i="2"/>
  <c r="L36" i="2"/>
  <c r="P36" i="2"/>
  <c r="T36" i="2"/>
  <c r="H37" i="2"/>
  <c r="L37" i="2"/>
  <c r="P37" i="2"/>
  <c r="T37" i="2"/>
  <c r="H38" i="2"/>
  <c r="L38" i="2"/>
  <c r="P38" i="2"/>
  <c r="T38" i="2"/>
  <c r="H39" i="2"/>
  <c r="L39" i="2"/>
  <c r="P39" i="2"/>
  <c r="T39" i="2"/>
  <c r="H40" i="2"/>
  <c r="L40" i="2"/>
  <c r="P40" i="2"/>
  <c r="T40" i="2"/>
  <c r="H41" i="2"/>
  <c r="L41" i="2"/>
  <c r="P41" i="2"/>
  <c r="T41" i="2"/>
  <c r="H42" i="2"/>
  <c r="L42" i="2"/>
  <c r="P42" i="2"/>
  <c r="T42" i="2"/>
  <c r="H43" i="2"/>
  <c r="L43" i="2"/>
  <c r="P43" i="2"/>
  <c r="T43" i="2"/>
  <c r="H44" i="2"/>
  <c r="L44" i="2"/>
  <c r="P44" i="2"/>
  <c r="T44" i="2"/>
  <c r="K35" i="2"/>
  <c r="W35" i="2"/>
  <c r="S36" i="2"/>
  <c r="O37" i="2"/>
  <c r="K38" i="2"/>
  <c r="O38" i="2"/>
  <c r="K39" i="2"/>
  <c r="W39" i="2"/>
  <c r="S40" i="2"/>
  <c r="O41" i="2"/>
  <c r="K42" i="2"/>
  <c r="K43" i="2"/>
  <c r="I35" i="2"/>
  <c r="U35" i="2"/>
  <c r="Q36" i="2"/>
  <c r="I37" i="2"/>
  <c r="Q37" i="2"/>
  <c r="I38" i="2"/>
  <c r="M38" i="2"/>
  <c r="Q38" i="2"/>
  <c r="U38" i="2"/>
  <c r="I39" i="2"/>
  <c r="M39" i="2"/>
  <c r="Q39" i="2"/>
  <c r="U39" i="2"/>
  <c r="I40" i="2"/>
  <c r="M40" i="2"/>
  <c r="Q40" i="2"/>
  <c r="U40" i="2"/>
  <c r="I41" i="2"/>
  <c r="M41" i="2"/>
  <c r="Q41" i="2"/>
  <c r="U41" i="2"/>
  <c r="I42" i="2"/>
  <c r="M42" i="2"/>
  <c r="Q42" i="2"/>
  <c r="U42" i="2"/>
  <c r="I43" i="2"/>
  <c r="M43" i="2"/>
  <c r="Q43" i="2"/>
  <c r="U43" i="2"/>
  <c r="I44" i="2"/>
  <c r="M44" i="2"/>
  <c r="Q44" i="2"/>
  <c r="U44" i="2"/>
  <c r="O35" i="2"/>
  <c r="K36" i="2"/>
  <c r="K37" i="2"/>
  <c r="W37" i="2"/>
  <c r="S38" i="2"/>
  <c r="O39" i="2"/>
  <c r="K40" i="2"/>
  <c r="K41" i="2"/>
  <c r="W41" i="2"/>
  <c r="S42" i="2"/>
  <c r="S43" i="2"/>
  <c r="M35" i="2"/>
  <c r="Q35" i="2"/>
  <c r="I36" i="2"/>
  <c r="M36" i="2"/>
  <c r="U36" i="2"/>
  <c r="M37" i="2"/>
  <c r="U37" i="2"/>
  <c r="J35" i="2"/>
  <c r="N35" i="2"/>
  <c r="R35" i="2"/>
  <c r="V35" i="2"/>
  <c r="J36" i="2"/>
  <c r="N36" i="2"/>
  <c r="R36" i="2"/>
  <c r="V36" i="2"/>
  <c r="J37" i="2"/>
  <c r="N37" i="2"/>
  <c r="R37" i="2"/>
  <c r="V37" i="2"/>
  <c r="J38" i="2"/>
  <c r="N38" i="2"/>
  <c r="R38" i="2"/>
  <c r="V38" i="2"/>
  <c r="J39" i="2"/>
  <c r="N39" i="2"/>
  <c r="R39" i="2"/>
  <c r="V39" i="2"/>
  <c r="J40" i="2"/>
  <c r="N40" i="2"/>
  <c r="R40" i="2"/>
  <c r="V40" i="2"/>
  <c r="J41" i="2"/>
  <c r="N41" i="2"/>
  <c r="R41" i="2"/>
  <c r="V41" i="2"/>
  <c r="J42" i="2"/>
  <c r="N42" i="2"/>
  <c r="R42" i="2"/>
  <c r="V42" i="2"/>
  <c r="J43" i="2"/>
  <c r="N43" i="2"/>
  <c r="R43" i="2"/>
  <c r="V43" i="2"/>
  <c r="J44" i="2"/>
  <c r="N44" i="2"/>
  <c r="R44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Y1" i="2"/>
  <c r="W98" i="2" l="1"/>
  <c r="V98" i="2"/>
  <c r="U98" i="2"/>
  <c r="S98" i="2"/>
  <c r="R98" i="2"/>
  <c r="Q98" i="2"/>
  <c r="O98" i="2"/>
  <c r="N98" i="2"/>
  <c r="M98" i="2"/>
  <c r="K98" i="2"/>
  <c r="I98" i="2"/>
  <c r="I100" i="2" s="1"/>
  <c r="G1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74" i="2"/>
  <c r="F73" i="2"/>
  <c r="F72" i="2"/>
  <c r="F71" i="2"/>
  <c r="F70" i="2"/>
  <c r="F69" i="2"/>
  <c r="F68" i="2"/>
  <c r="F67" i="2"/>
  <c r="F66" i="2"/>
  <c r="F65" i="2"/>
  <c r="H55" i="2"/>
  <c r="H54" i="2"/>
  <c r="H53" i="2"/>
  <c r="H52" i="2"/>
  <c r="H51" i="2"/>
  <c r="H50" i="2"/>
  <c r="H49" i="2"/>
  <c r="H48" i="2"/>
  <c r="H47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F33" i="2"/>
  <c r="F32" i="2"/>
  <c r="F31" i="2"/>
  <c r="F30" i="2"/>
  <c r="F29" i="2"/>
  <c r="F28" i="2"/>
  <c r="F27" i="2"/>
  <c r="F26" i="2"/>
  <c r="F25" i="2"/>
  <c r="F24" i="2"/>
  <c r="F45" i="1"/>
  <c r="F44" i="1"/>
  <c r="F43" i="1"/>
  <c r="F42" i="1"/>
  <c r="F41" i="1"/>
  <c r="F40" i="1"/>
  <c r="F39" i="1"/>
  <c r="F38" i="1"/>
  <c r="F37" i="1"/>
  <c r="E45" i="1"/>
  <c r="E44" i="1"/>
  <c r="E43" i="1"/>
  <c r="E42" i="1"/>
  <c r="E41" i="1"/>
  <c r="E40" i="1"/>
  <c r="E39" i="1"/>
  <c r="E38" i="1"/>
  <c r="E37" i="1"/>
  <c r="D45" i="1"/>
  <c r="D44" i="1"/>
  <c r="D43" i="1"/>
  <c r="D42" i="1"/>
  <c r="D41" i="1"/>
  <c r="D40" i="1"/>
  <c r="D39" i="1"/>
  <c r="D38" i="1"/>
  <c r="D37" i="1"/>
  <c r="C45" i="1"/>
  <c r="C44" i="1"/>
  <c r="C43" i="1"/>
  <c r="C42" i="1"/>
  <c r="C41" i="1"/>
  <c r="C40" i="1"/>
  <c r="C39" i="1"/>
  <c r="C38" i="1"/>
  <c r="C37" i="1"/>
  <c r="F36" i="1"/>
  <c r="E36" i="1"/>
  <c r="D36" i="1"/>
  <c r="C36" i="1"/>
  <c r="S30" i="1"/>
  <c r="S29" i="1"/>
  <c r="S28" i="1"/>
  <c r="S27" i="1"/>
  <c r="S26" i="1"/>
  <c r="S25" i="1"/>
  <c r="S24" i="1"/>
  <c r="S23" i="1"/>
  <c r="S22" i="1"/>
  <c r="S21" i="1"/>
  <c r="H2" i="2" l="1"/>
  <c r="H4" i="2"/>
  <c r="Y98" i="2"/>
  <c r="J100" i="2"/>
  <c r="H8" i="2"/>
  <c r="H12" i="2"/>
  <c r="H16" i="2"/>
  <c r="I4" i="2"/>
  <c r="H5" i="2"/>
  <c r="H9" i="2"/>
  <c r="H13" i="2"/>
  <c r="H17" i="2"/>
  <c r="I8" i="2"/>
  <c r="H6" i="2"/>
  <c r="H10" i="2"/>
  <c r="H14" i="2"/>
  <c r="H18" i="2"/>
  <c r="I12" i="2"/>
  <c r="F76" i="2"/>
  <c r="I3" i="2"/>
  <c r="H3" i="2"/>
  <c r="I7" i="2"/>
  <c r="H7" i="2"/>
  <c r="I11" i="2"/>
  <c r="H11" i="2"/>
  <c r="I15" i="2"/>
  <c r="H15" i="2"/>
  <c r="H1" i="2"/>
  <c r="I16" i="2"/>
  <c r="I57" i="2"/>
  <c r="M57" i="2"/>
  <c r="Q57" i="2"/>
  <c r="U57" i="2"/>
  <c r="H57" i="2"/>
  <c r="P57" i="2"/>
  <c r="K57" i="2"/>
  <c r="S57" i="2"/>
  <c r="L57" i="2"/>
  <c r="T57" i="2"/>
  <c r="O57" i="2"/>
  <c r="W57" i="2"/>
  <c r="H59" i="2"/>
  <c r="I2" i="2"/>
  <c r="I6" i="2"/>
  <c r="I10" i="2"/>
  <c r="I14" i="2"/>
  <c r="I18" i="2"/>
  <c r="F35" i="2"/>
  <c r="J57" i="2"/>
  <c r="N57" i="2"/>
  <c r="R57" i="2"/>
  <c r="V57" i="2"/>
  <c r="I9" i="2"/>
  <c r="I17" i="2"/>
  <c r="I5" i="2"/>
  <c r="I13" i="2"/>
  <c r="I59" i="2"/>
  <c r="I110" i="2" s="1"/>
  <c r="I43" i="1"/>
  <c r="I45" i="1"/>
  <c r="I38" i="1"/>
  <c r="I37" i="1"/>
  <c r="I39" i="1"/>
  <c r="I44" i="1"/>
  <c r="I42" i="1"/>
  <c r="I41" i="1"/>
  <c r="I40" i="1"/>
  <c r="I36" i="1"/>
  <c r="H110" i="2" l="1"/>
  <c r="H106" i="2"/>
  <c r="H112" i="2" s="1"/>
  <c r="I106" i="2"/>
  <c r="I112" i="2" s="1"/>
  <c r="K100" i="2"/>
  <c r="J59" i="2"/>
  <c r="Y57" i="2"/>
  <c r="K59" i="2" l="1"/>
  <c r="J110" i="2"/>
  <c r="J106" i="2"/>
  <c r="J112" i="2" s="1"/>
  <c r="L100" i="2"/>
  <c r="K106" i="2"/>
  <c r="K112" i="2" s="1"/>
  <c r="L59" i="2" l="1"/>
  <c r="K110" i="2"/>
  <c r="M100" i="2"/>
  <c r="L106" i="2"/>
  <c r="L112" i="2" s="1"/>
  <c r="M59" i="2" l="1"/>
  <c r="L110" i="2"/>
  <c r="N100" i="2"/>
  <c r="M106" i="2"/>
  <c r="M112" i="2" s="1"/>
  <c r="N59" i="2" l="1"/>
  <c r="M110" i="2"/>
  <c r="O100" i="2"/>
  <c r="N106" i="2"/>
  <c r="N112" i="2" s="1"/>
  <c r="O59" i="2" l="1"/>
  <c r="N110" i="2"/>
  <c r="P100" i="2"/>
  <c r="O106" i="2"/>
  <c r="O112" i="2" s="1"/>
  <c r="P59" i="2" l="1"/>
  <c r="O110" i="2"/>
  <c r="Q100" i="2"/>
  <c r="P106" i="2"/>
  <c r="P112" i="2" s="1"/>
  <c r="Q59" i="2" l="1"/>
  <c r="P110" i="2"/>
  <c r="R100" i="2"/>
  <c r="Q106" i="2"/>
  <c r="Q112" i="2" s="1"/>
  <c r="R59" i="2" l="1"/>
  <c r="Q110" i="2"/>
  <c r="S100" i="2"/>
  <c r="R106" i="2"/>
  <c r="R112" i="2" s="1"/>
  <c r="S59" i="2" l="1"/>
  <c r="R110" i="2"/>
  <c r="T100" i="2"/>
  <c r="S106" i="2"/>
  <c r="S112" i="2" s="1"/>
  <c r="T59" i="2" l="1"/>
  <c r="S110" i="2"/>
  <c r="U100" i="2"/>
  <c r="T106" i="2"/>
  <c r="T112" i="2" s="1"/>
  <c r="U59" i="2" l="1"/>
  <c r="T110" i="2"/>
  <c r="V100" i="2"/>
  <c r="U106" i="2"/>
  <c r="U112" i="2" s="1"/>
  <c r="V59" i="2" l="1"/>
  <c r="U110" i="2"/>
  <c r="W100" i="2"/>
  <c r="V106" i="2"/>
  <c r="V112" i="2" s="1"/>
  <c r="W59" i="2" l="1"/>
  <c r="W110" i="2" s="1"/>
  <c r="V110" i="2"/>
  <c r="W106" i="2" l="1"/>
  <c r="W112" i="2" s="1"/>
</calcChain>
</file>

<file path=xl/sharedStrings.xml><?xml version="1.0" encoding="utf-8"?>
<sst xmlns="http://schemas.openxmlformats.org/spreadsheetml/2006/main" count="48" uniqueCount="43">
  <si>
    <t>dSL</t>
  </si>
  <si>
    <t>c*dSLj</t>
  </si>
  <si>
    <t>dc*SLj1</t>
  </si>
  <si>
    <t>Identity</t>
  </si>
  <si>
    <t>dp</t>
  </si>
  <si>
    <t>domgL</t>
  </si>
  <si>
    <t>realoc.</t>
  </si>
  <si>
    <t>Decomposition</t>
  </si>
  <si>
    <t>dsub</t>
  </si>
  <si>
    <t>dptw</t>
  </si>
  <si>
    <t>dp^2</t>
  </si>
  <si>
    <t>domgL^2</t>
  </si>
  <si>
    <t>dsub^2</t>
  </si>
  <si>
    <t>dptw^2</t>
  </si>
  <si>
    <t>dpdsub</t>
  </si>
  <si>
    <t>dpdptw</t>
  </si>
  <si>
    <t>dodsub</t>
  </si>
  <si>
    <t>dodptw</t>
  </si>
  <si>
    <t>dpdomgL</t>
  </si>
  <si>
    <t>dsubdptw</t>
  </si>
  <si>
    <t>res.</t>
  </si>
  <si>
    <t>prices</t>
  </si>
  <si>
    <t>omegaL</t>
  </si>
  <si>
    <t>sub</t>
  </si>
  <si>
    <t>adj. cost</t>
  </si>
  <si>
    <t>realoc</t>
  </si>
  <si>
    <t>res</t>
  </si>
  <si>
    <t xml:space="preserve">Grouping: 0.5 of interactions to each component </t>
  </si>
  <si>
    <t>NA weights</t>
  </si>
  <si>
    <t>Spanish NA</t>
  </si>
  <si>
    <t>NA2000</t>
  </si>
  <si>
    <t>NA 1986</t>
  </si>
  <si>
    <t>Sample share</t>
  </si>
  <si>
    <t>counterfactual</t>
  </si>
  <si>
    <t>Sum</t>
  </si>
  <si>
    <t>Cjhange in SL</t>
  </si>
  <si>
    <t>Change in the terms corresponding to omgL</t>
  </si>
  <si>
    <t>Counterfactual: Change in SL minus change due to omgL</t>
  </si>
  <si>
    <t>Applying to the starting value of 0.254</t>
  </si>
  <si>
    <t>SL</t>
  </si>
  <si>
    <t>Counter.</t>
  </si>
  <si>
    <t>Change in the terms corresponding to omegaL year to year</t>
  </si>
  <si>
    <t>Share for 1991-1994 augmented in 1.12, ratio between the  values for the share of 1995 in the two accounting basis: 0.65/0.58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</si>
</sst>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3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dSL</c:v>
          </c:tx>
          <c:marker>
            <c:symbol val="none"/>
          </c:marker>
          <c:cat>
            <c:numLit>
              <c:formatCode>General</c:formatCode>
              <c:ptCount val="17"/>
              <c:pt idx="0">
                <c:v>1991</c:v>
              </c:pt>
              <c:pt idx="1">
                <c:v>1992</c:v>
              </c:pt>
              <c:pt idx="2">
                <c:v>1993</c:v>
              </c:pt>
              <c:pt idx="3">
                <c:v>1994</c:v>
              </c:pt>
              <c:pt idx="4">
                <c:v>1995</c:v>
              </c:pt>
              <c:pt idx="5">
                <c:v>1996</c:v>
              </c:pt>
              <c:pt idx="6">
                <c:v>1997</c:v>
              </c:pt>
              <c:pt idx="7">
                <c:v>1998</c:v>
              </c:pt>
              <c:pt idx="8">
                <c:v>1999</c:v>
              </c:pt>
              <c:pt idx="9">
                <c:v>2000</c:v>
              </c:pt>
              <c:pt idx="10">
                <c:v>2001</c:v>
              </c:pt>
              <c:pt idx="11">
                <c:v>2002</c:v>
              </c:pt>
              <c:pt idx="12">
                <c:v>2003</c:v>
              </c:pt>
              <c:pt idx="13">
                <c:v>2004</c:v>
              </c:pt>
              <c:pt idx="14">
                <c:v>2005</c:v>
              </c:pt>
              <c:pt idx="15">
                <c:v>2006</c:v>
              </c:pt>
              <c:pt idx="16">
                <c:v>2007</c:v>
              </c:pt>
            </c:numLit>
          </c:cat>
          <c:val>
            <c:numRef>
              <c:f>Sheet2!$H$59:$W$59</c:f>
              <c:numCache>
                <c:formatCode>0.000</c:formatCode>
                <c:ptCount val="16"/>
                <c:pt idx="0">
                  <c:v>1.0251256281407035E-3</c:v>
                </c:pt>
                <c:pt idx="1">
                  <c:v>7.4321608040200998E-3</c:v>
                </c:pt>
                <c:pt idx="2">
                  <c:v>1.378894472361809E-2</c:v>
                </c:pt>
                <c:pt idx="3">
                  <c:v>-2.0871356783919593E-2</c:v>
                </c:pt>
                <c:pt idx="4">
                  <c:v>-4.040502512562813E-2</c:v>
                </c:pt>
                <c:pt idx="5">
                  <c:v>-3.3878391959798984E-2</c:v>
                </c:pt>
                <c:pt idx="6">
                  <c:v>-4.7363819095477377E-2</c:v>
                </c:pt>
                <c:pt idx="7">
                  <c:v>-5.2998994974874362E-2</c:v>
                </c:pt>
                <c:pt idx="8">
                  <c:v>-5.4140703517587929E-2</c:v>
                </c:pt>
                <c:pt idx="9">
                  <c:v>-6.4930653266331656E-2</c:v>
                </c:pt>
                <c:pt idx="10">
                  <c:v>-6.6989949748743713E-2</c:v>
                </c:pt>
                <c:pt idx="11">
                  <c:v>-6.5054271356783919E-2</c:v>
                </c:pt>
                <c:pt idx="12">
                  <c:v>-6.3376884422110549E-2</c:v>
                </c:pt>
                <c:pt idx="13">
                  <c:v>-6.9309547738693467E-2</c:v>
                </c:pt>
                <c:pt idx="14">
                  <c:v>-6.7378894472361811E-2</c:v>
                </c:pt>
                <c:pt idx="15">
                  <c:v>-8.2758793969849254E-2</c:v>
                </c:pt>
              </c:numCache>
            </c:numRef>
          </c:val>
          <c:smooth val="0"/>
        </c:ser>
        <c:ser>
          <c:idx val="1"/>
          <c:order val="1"/>
          <c:tx>
            <c:v>NA</c:v>
          </c:tx>
          <c:marker>
            <c:symbol val="none"/>
          </c:marker>
          <c:cat>
            <c:numLit>
              <c:formatCode>General</c:formatCode>
              <c:ptCount val="17"/>
              <c:pt idx="0">
                <c:v>1991</c:v>
              </c:pt>
              <c:pt idx="1">
                <c:v>1992</c:v>
              </c:pt>
              <c:pt idx="2">
                <c:v>1993</c:v>
              </c:pt>
              <c:pt idx="3">
                <c:v>1994</c:v>
              </c:pt>
              <c:pt idx="4">
                <c:v>1995</c:v>
              </c:pt>
              <c:pt idx="5">
                <c:v>1996</c:v>
              </c:pt>
              <c:pt idx="6">
                <c:v>1997</c:v>
              </c:pt>
              <c:pt idx="7">
                <c:v>1998</c:v>
              </c:pt>
              <c:pt idx="8">
                <c:v>1999</c:v>
              </c:pt>
              <c:pt idx="9">
                <c:v>2000</c:v>
              </c:pt>
              <c:pt idx="10">
                <c:v>2001</c:v>
              </c:pt>
              <c:pt idx="11">
                <c:v>2002</c:v>
              </c:pt>
              <c:pt idx="12">
                <c:v>2003</c:v>
              </c:pt>
              <c:pt idx="13">
                <c:v>2004</c:v>
              </c:pt>
              <c:pt idx="14">
                <c:v>2005</c:v>
              </c:pt>
              <c:pt idx="15">
                <c:v>2006</c:v>
              </c:pt>
              <c:pt idx="16">
                <c:v>2007</c:v>
              </c:pt>
            </c:numLit>
          </c:cat>
          <c:val>
            <c:numRef>
              <c:f>Sheet2!$I$2:$I$18</c:f>
              <c:numCache>
                <c:formatCode>0.000</c:formatCode>
                <c:ptCount val="17"/>
                <c:pt idx="0">
                  <c:v>2.6288475712018866E-2</c:v>
                </c:pt>
                <c:pt idx="1">
                  <c:v>5.4992066816719087E-2</c:v>
                </c:pt>
                <c:pt idx="2">
                  <c:v>7.3438267445374183E-2</c:v>
                </c:pt>
                <c:pt idx="3">
                  <c:v>3.6017294164524483E-2</c:v>
                </c:pt>
                <c:pt idx="4">
                  <c:v>1.0762921565856676E-3</c:v>
                </c:pt>
                <c:pt idx="5">
                  <c:v>-1.6289480208865337E-3</c:v>
                </c:pt>
                <c:pt idx="6">
                  <c:v>-2.6964399187147103E-3</c:v>
                </c:pt>
                <c:pt idx="7">
                  <c:v>-1.2930938044011353E-2</c:v>
                </c:pt>
                <c:pt idx="8">
                  <c:v>-2.7447465894207101E-2</c:v>
                </c:pt>
                <c:pt idx="9">
                  <c:v>-3.4579315239759212E-2</c:v>
                </c:pt>
                <c:pt idx="10">
                  <c:v>-3.2382112701353383E-2</c:v>
                </c:pt>
                <c:pt idx="11">
                  <c:v>-3.3560473767328958E-2</c:v>
                </c:pt>
                <c:pt idx="12">
                  <c:v>-2.4952723540464961E-2</c:v>
                </c:pt>
                <c:pt idx="13">
                  <c:v>-3.404453948135866E-2</c:v>
                </c:pt>
                <c:pt idx="14">
                  <c:v>-3.5949865794568603E-2</c:v>
                </c:pt>
                <c:pt idx="15">
                  <c:v>-4.6665345340878739E-2</c:v>
                </c:pt>
                <c:pt idx="16">
                  <c:v>-4.8391038397043729E-2</c:v>
                </c:pt>
              </c:numCache>
            </c:numRef>
          </c:val>
          <c:smooth val="0"/>
        </c:ser>
        <c:ser>
          <c:idx val="2"/>
          <c:order val="2"/>
          <c:tx>
            <c:v>domgL</c:v>
          </c:tx>
          <c:marker>
            <c:symbol val="none"/>
          </c:marker>
          <c:val>
            <c:numRef>
              <c:f>Sheet2!$H$157:$W$157</c:f>
              <c:numCache>
                <c:formatCode>0.000</c:formatCode>
                <c:ptCount val="1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193544"/>
        <c:axId val="309200208"/>
      </c:lineChart>
      <c:catAx>
        <c:axId val="309193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9200208"/>
        <c:crosses val="autoZero"/>
        <c:auto val="1"/>
        <c:lblAlgn val="ctr"/>
        <c:lblOffset val="100"/>
        <c:noMultiLvlLbl val="0"/>
      </c:catAx>
      <c:valAx>
        <c:axId val="30920020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one"/>
        <c:crossAx val="309193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NA</c:v>
          </c:tx>
          <c:marker>
            <c:symbol val="none"/>
          </c:marker>
          <c:cat>
            <c:numLit>
              <c:formatCode>General</c:formatCode>
              <c:ptCount val="18"/>
              <c:pt idx="0">
                <c:v>1990</c:v>
              </c:pt>
              <c:pt idx="1">
                <c:v>1991</c:v>
              </c:pt>
              <c:pt idx="2">
                <c:v>1992</c:v>
              </c:pt>
              <c:pt idx="3">
                <c:v>1993</c:v>
              </c:pt>
              <c:pt idx="4">
                <c:v>1994</c:v>
              </c:pt>
              <c:pt idx="5">
                <c:v>1995</c:v>
              </c:pt>
              <c:pt idx="6">
                <c:v>1996</c:v>
              </c:pt>
              <c:pt idx="7">
                <c:v>1997</c:v>
              </c:pt>
              <c:pt idx="8">
                <c:v>1998</c:v>
              </c:pt>
              <c:pt idx="9">
                <c:v>1999</c:v>
              </c:pt>
              <c:pt idx="10">
                <c:v>2000</c:v>
              </c:pt>
              <c:pt idx="11">
                <c:v>2001</c:v>
              </c:pt>
              <c:pt idx="12">
                <c:v>2002</c:v>
              </c:pt>
              <c:pt idx="13">
                <c:v>2003</c:v>
              </c:pt>
              <c:pt idx="14">
                <c:v>2004</c:v>
              </c:pt>
              <c:pt idx="15">
                <c:v>2005</c:v>
              </c:pt>
              <c:pt idx="16">
                <c:v>2006</c:v>
              </c:pt>
              <c:pt idx="17">
                <c:v>2007</c:v>
              </c:pt>
            </c:numLit>
          </c:cat>
          <c:val>
            <c:numRef>
              <c:f>Sheet2!$G$1:$G$18</c:f>
              <c:numCache>
                <c:formatCode>0.00</c:formatCode>
                <c:ptCount val="18"/>
                <c:pt idx="0">
                  <c:v>0.64957713953990914</c:v>
                </c:pt>
                <c:pt idx="1">
                  <c:v>0.67586561525192801</c:v>
                </c:pt>
                <c:pt idx="2">
                  <c:v>0.70456920635662823</c:v>
                </c:pt>
                <c:pt idx="3">
                  <c:v>0.72301540698528333</c:v>
                </c:pt>
                <c:pt idx="4">
                  <c:v>0.68559443370443363</c:v>
                </c:pt>
                <c:pt idx="5">
                  <c:v>0.65065343169649481</c:v>
                </c:pt>
                <c:pt idx="6">
                  <c:v>0.64794819151902261</c:v>
                </c:pt>
                <c:pt idx="7">
                  <c:v>0.64688069962119443</c:v>
                </c:pt>
                <c:pt idx="8">
                  <c:v>0.63664620149589779</c:v>
                </c:pt>
                <c:pt idx="9">
                  <c:v>0.62212967364570204</c:v>
                </c:pt>
                <c:pt idx="10">
                  <c:v>0.61499782430014993</c:v>
                </c:pt>
                <c:pt idx="11">
                  <c:v>0.61719502683855576</c:v>
                </c:pt>
                <c:pt idx="12">
                  <c:v>0.61601666577258019</c:v>
                </c:pt>
                <c:pt idx="13">
                  <c:v>0.62462441599944418</c:v>
                </c:pt>
                <c:pt idx="14">
                  <c:v>0.61553260005855048</c:v>
                </c:pt>
                <c:pt idx="15">
                  <c:v>0.61362727374534054</c:v>
                </c:pt>
                <c:pt idx="16">
                  <c:v>0.6029117941990304</c:v>
                </c:pt>
                <c:pt idx="17">
                  <c:v>0.60118610114286541</c:v>
                </c:pt>
              </c:numCache>
            </c:numRef>
          </c:val>
          <c:smooth val="0"/>
        </c:ser>
        <c:ser>
          <c:idx val="1"/>
          <c:order val="1"/>
          <c:tx>
            <c:v>SL</c:v>
          </c:tx>
          <c:marker>
            <c:symbol val="none"/>
          </c:marker>
          <c:val>
            <c:numRef>
              <c:f>Sheet2!$X$1:$X$17</c:f>
              <c:numCache>
                <c:formatCode>0.000</c:formatCode>
                <c:ptCount val="17"/>
                <c:pt idx="0">
                  <c:v>0.254</c:v>
                </c:pt>
                <c:pt idx="1">
                  <c:v>0.26500000000000001</c:v>
                </c:pt>
                <c:pt idx="2">
                  <c:v>0.23899999999999999</c:v>
                </c:pt>
                <c:pt idx="3">
                  <c:v>0.25700000000000001</c:v>
                </c:pt>
                <c:pt idx="4">
                  <c:v>0.224</c:v>
                </c:pt>
                <c:pt idx="5">
                  <c:v>0.20699999999999999</c:v>
                </c:pt>
                <c:pt idx="6">
                  <c:v>0.19600000000000001</c:v>
                </c:pt>
                <c:pt idx="7">
                  <c:v>0.184</c:v>
                </c:pt>
                <c:pt idx="8">
                  <c:v>0.17699999999999999</c:v>
                </c:pt>
                <c:pt idx="9">
                  <c:v>0.16</c:v>
                </c:pt>
                <c:pt idx="10">
                  <c:v>0.157</c:v>
                </c:pt>
                <c:pt idx="11">
                  <c:v>0.182</c:v>
                </c:pt>
                <c:pt idx="12">
                  <c:v>0.182</c:v>
                </c:pt>
                <c:pt idx="13">
                  <c:v>0.16300000000000001</c:v>
                </c:pt>
                <c:pt idx="14">
                  <c:v>0.183</c:v>
                </c:pt>
                <c:pt idx="15">
                  <c:v>0.183</c:v>
                </c:pt>
                <c:pt idx="16">
                  <c:v>0.17899999999999999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193936"/>
        <c:axId val="309196288"/>
      </c:lineChart>
      <c:catAx>
        <c:axId val="30919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9196288"/>
        <c:crosses val="autoZero"/>
        <c:auto val="1"/>
        <c:lblAlgn val="ctr"/>
        <c:lblOffset val="100"/>
        <c:noMultiLvlLbl val="0"/>
      </c:catAx>
      <c:valAx>
        <c:axId val="309196288"/>
        <c:scaling>
          <c:orientation val="minMax"/>
          <c:min val="0.1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09193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Nat. Acc.</c:v>
          </c:tx>
          <c:marker>
            <c:symbol val="none"/>
          </c:marker>
          <c:cat>
            <c:numLit>
              <c:formatCode>General</c:formatCode>
              <c:ptCount val="17"/>
              <c:pt idx="0">
                <c:v>1990</c:v>
              </c:pt>
              <c:pt idx="1">
                <c:v>1991</c:v>
              </c:pt>
              <c:pt idx="2">
                <c:v>1992</c:v>
              </c:pt>
              <c:pt idx="3">
                <c:v>1993</c:v>
              </c:pt>
              <c:pt idx="4">
                <c:v>1994</c:v>
              </c:pt>
              <c:pt idx="5">
                <c:v>1995</c:v>
              </c:pt>
              <c:pt idx="6">
                <c:v>1996</c:v>
              </c:pt>
              <c:pt idx="7">
                <c:v>1997</c:v>
              </c:pt>
              <c:pt idx="8">
                <c:v>1998</c:v>
              </c:pt>
              <c:pt idx="9">
                <c:v>1999</c:v>
              </c:pt>
              <c:pt idx="10">
                <c:v>2000</c:v>
              </c:pt>
              <c:pt idx="11">
                <c:v>2001</c:v>
              </c:pt>
              <c:pt idx="12">
                <c:v>2002</c:v>
              </c:pt>
              <c:pt idx="13">
                <c:v>2003</c:v>
              </c:pt>
              <c:pt idx="14">
                <c:v>2004</c:v>
              </c:pt>
              <c:pt idx="15">
                <c:v>2005</c:v>
              </c:pt>
              <c:pt idx="16">
                <c:v>2006</c:v>
              </c:pt>
            </c:numLit>
          </c:cat>
          <c:val>
            <c:numRef>
              <c:f>Sheet2!$G$1:$G$17</c:f>
              <c:numCache>
                <c:formatCode>0.00</c:formatCode>
                <c:ptCount val="17"/>
                <c:pt idx="0">
                  <c:v>0.64957713953990914</c:v>
                </c:pt>
                <c:pt idx="1">
                  <c:v>0.67586561525192801</c:v>
                </c:pt>
                <c:pt idx="2">
                  <c:v>0.70456920635662823</c:v>
                </c:pt>
                <c:pt idx="3">
                  <c:v>0.72301540698528333</c:v>
                </c:pt>
                <c:pt idx="4">
                  <c:v>0.68559443370443363</c:v>
                </c:pt>
                <c:pt idx="5">
                  <c:v>0.65065343169649481</c:v>
                </c:pt>
                <c:pt idx="6">
                  <c:v>0.64794819151902261</c:v>
                </c:pt>
                <c:pt idx="7">
                  <c:v>0.64688069962119443</c:v>
                </c:pt>
                <c:pt idx="8">
                  <c:v>0.63664620149589779</c:v>
                </c:pt>
                <c:pt idx="9">
                  <c:v>0.62212967364570204</c:v>
                </c:pt>
                <c:pt idx="10">
                  <c:v>0.61499782430014993</c:v>
                </c:pt>
                <c:pt idx="11">
                  <c:v>0.61719502683855576</c:v>
                </c:pt>
                <c:pt idx="12">
                  <c:v>0.61601666577258019</c:v>
                </c:pt>
                <c:pt idx="13">
                  <c:v>0.62462441599944418</c:v>
                </c:pt>
                <c:pt idx="14">
                  <c:v>0.61553260005855048</c:v>
                </c:pt>
                <c:pt idx="15">
                  <c:v>0.61362727374534054</c:v>
                </c:pt>
                <c:pt idx="16">
                  <c:v>0.6029117941990304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194720"/>
        <c:axId val="309194328"/>
      </c:lineChart>
      <c:lineChart>
        <c:grouping val="standard"/>
        <c:varyColors val="0"/>
        <c:ser>
          <c:idx val="1"/>
          <c:order val="1"/>
          <c:tx>
            <c:v>Sample</c:v>
          </c:tx>
          <c:marker>
            <c:symbol val="none"/>
          </c:marker>
          <c:cat>
            <c:numLit>
              <c:formatCode>General</c:formatCode>
              <c:ptCount val="17"/>
              <c:pt idx="0">
                <c:v>1990</c:v>
              </c:pt>
              <c:pt idx="1">
                <c:v>1991</c:v>
              </c:pt>
              <c:pt idx="2">
                <c:v>1992</c:v>
              </c:pt>
              <c:pt idx="3">
                <c:v>1993</c:v>
              </c:pt>
              <c:pt idx="4">
                <c:v>1994</c:v>
              </c:pt>
              <c:pt idx="5">
                <c:v>1995</c:v>
              </c:pt>
              <c:pt idx="6">
                <c:v>1996</c:v>
              </c:pt>
              <c:pt idx="7">
                <c:v>1997</c:v>
              </c:pt>
              <c:pt idx="8">
                <c:v>1998</c:v>
              </c:pt>
              <c:pt idx="9">
                <c:v>1999</c:v>
              </c:pt>
              <c:pt idx="10">
                <c:v>2000</c:v>
              </c:pt>
              <c:pt idx="11">
                <c:v>2001</c:v>
              </c:pt>
              <c:pt idx="12">
                <c:v>2002</c:v>
              </c:pt>
              <c:pt idx="13">
                <c:v>2003</c:v>
              </c:pt>
              <c:pt idx="14">
                <c:v>2004</c:v>
              </c:pt>
              <c:pt idx="15">
                <c:v>2005</c:v>
              </c:pt>
              <c:pt idx="16">
                <c:v>2006</c:v>
              </c:pt>
            </c:numLit>
          </c:cat>
          <c:val>
            <c:numRef>
              <c:f>Sheet2!$G$110:$W$110</c:f>
              <c:numCache>
                <c:formatCode>0.000</c:formatCode>
                <c:ptCount val="17"/>
                <c:pt idx="0" formatCode="General">
                  <c:v>0.254</c:v>
                </c:pt>
                <c:pt idx="1">
                  <c:v>0.25502512562814073</c:v>
                </c:pt>
                <c:pt idx="2">
                  <c:v>0.2614321608040201</c:v>
                </c:pt>
                <c:pt idx="3">
                  <c:v>0.26778894472361808</c:v>
                </c:pt>
                <c:pt idx="4">
                  <c:v>0.2331286432160804</c:v>
                </c:pt>
                <c:pt idx="5">
                  <c:v>0.21359497487437187</c:v>
                </c:pt>
                <c:pt idx="6">
                  <c:v>0.22012160804020103</c:v>
                </c:pt>
                <c:pt idx="7">
                  <c:v>0.20663618090452263</c:v>
                </c:pt>
                <c:pt idx="8">
                  <c:v>0.20100100502512563</c:v>
                </c:pt>
                <c:pt idx="9">
                  <c:v>0.19985929648241207</c:v>
                </c:pt>
                <c:pt idx="10">
                  <c:v>0.18906934673366835</c:v>
                </c:pt>
                <c:pt idx="11">
                  <c:v>0.18701005025125628</c:v>
                </c:pt>
                <c:pt idx="12">
                  <c:v>0.18894572864321607</c:v>
                </c:pt>
                <c:pt idx="13">
                  <c:v>0.19062311557788947</c:v>
                </c:pt>
                <c:pt idx="14">
                  <c:v>0.18469045226130654</c:v>
                </c:pt>
                <c:pt idx="15">
                  <c:v>0.18662110552763819</c:v>
                </c:pt>
                <c:pt idx="16">
                  <c:v>0.17124120603015075</c:v>
                </c:pt>
              </c:numCache>
            </c:numRef>
          </c:val>
          <c:smooth val="0"/>
        </c:ser>
        <c:ser>
          <c:idx val="2"/>
          <c:order val="2"/>
          <c:tx>
            <c:v>Counterfact.</c:v>
          </c:tx>
          <c:marker>
            <c:symbol val="none"/>
          </c:marker>
          <c:cat>
            <c:numLit>
              <c:formatCode>General</c:formatCode>
              <c:ptCount val="17"/>
              <c:pt idx="0">
                <c:v>1990</c:v>
              </c:pt>
              <c:pt idx="1">
                <c:v>1991</c:v>
              </c:pt>
              <c:pt idx="2">
                <c:v>1992</c:v>
              </c:pt>
              <c:pt idx="3">
                <c:v>1993</c:v>
              </c:pt>
              <c:pt idx="4">
                <c:v>1994</c:v>
              </c:pt>
              <c:pt idx="5">
                <c:v>1995</c:v>
              </c:pt>
              <c:pt idx="6">
                <c:v>1996</c:v>
              </c:pt>
              <c:pt idx="7">
                <c:v>1997</c:v>
              </c:pt>
              <c:pt idx="8">
                <c:v>1998</c:v>
              </c:pt>
              <c:pt idx="9">
                <c:v>1999</c:v>
              </c:pt>
              <c:pt idx="10">
                <c:v>2000</c:v>
              </c:pt>
              <c:pt idx="11">
                <c:v>2001</c:v>
              </c:pt>
              <c:pt idx="12">
                <c:v>2002</c:v>
              </c:pt>
              <c:pt idx="13">
                <c:v>2003</c:v>
              </c:pt>
              <c:pt idx="14">
                <c:v>2004</c:v>
              </c:pt>
              <c:pt idx="15">
                <c:v>2005</c:v>
              </c:pt>
              <c:pt idx="16">
                <c:v>2006</c:v>
              </c:pt>
            </c:numLit>
          </c:cat>
          <c:val>
            <c:numRef>
              <c:f>Sheet2!$G$112:$W$112</c:f>
              <c:numCache>
                <c:formatCode>0.000</c:formatCode>
                <c:ptCount val="17"/>
                <c:pt idx="0" formatCode="General">
                  <c:v>0.254</c:v>
                </c:pt>
                <c:pt idx="1">
                  <c:v>0.26073668341708545</c:v>
                </c:pt>
                <c:pt idx="2">
                  <c:v>0.27419597989949751</c:v>
                </c:pt>
                <c:pt idx="3">
                  <c:v>0.27085226130653267</c:v>
                </c:pt>
                <c:pt idx="4">
                  <c:v>0.26536482412060303</c:v>
                </c:pt>
                <c:pt idx="5">
                  <c:v>0.26244020100502513</c:v>
                </c:pt>
                <c:pt idx="6">
                  <c:v>0.26845929648241207</c:v>
                </c:pt>
                <c:pt idx="7">
                  <c:v>0.2621145728643216</c:v>
                </c:pt>
                <c:pt idx="8">
                  <c:v>0.26631356783919596</c:v>
                </c:pt>
                <c:pt idx="9">
                  <c:v>0.27142211055276383</c:v>
                </c:pt>
                <c:pt idx="10">
                  <c:v>0.27094472361809047</c:v>
                </c:pt>
                <c:pt idx="11">
                  <c:v>0.27571055276381912</c:v>
                </c:pt>
                <c:pt idx="12">
                  <c:v>0.27733969849246232</c:v>
                </c:pt>
                <c:pt idx="13">
                  <c:v>0.27654773869346733</c:v>
                </c:pt>
                <c:pt idx="14">
                  <c:v>0.27791859296482413</c:v>
                </c:pt>
                <c:pt idx="15">
                  <c:v>0.28183618090452262</c:v>
                </c:pt>
                <c:pt idx="16">
                  <c:v>0.27993366834170852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613216"/>
        <c:axId val="400609296"/>
      </c:lineChart>
      <c:catAx>
        <c:axId val="30919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9194328"/>
        <c:crosses val="autoZero"/>
        <c:auto val="1"/>
        <c:lblAlgn val="ctr"/>
        <c:lblOffset val="100"/>
        <c:noMultiLvlLbl val="0"/>
      </c:catAx>
      <c:valAx>
        <c:axId val="309194328"/>
        <c:scaling>
          <c:orientation val="minMax"/>
          <c:max val="0.76000000000000012"/>
          <c:min val="0.57000000000000006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309194720"/>
        <c:crosses val="autoZero"/>
        <c:crossBetween val="between"/>
      </c:valAx>
      <c:valAx>
        <c:axId val="400609296"/>
        <c:scaling>
          <c:orientation val="minMax"/>
          <c:max val="0.29000000000000004"/>
          <c:min val="0.16000000000000003"/>
        </c:scaling>
        <c:delete val="0"/>
        <c:axPos val="r"/>
        <c:numFmt formatCode="General" sourceLinked="1"/>
        <c:majorTickMark val="out"/>
        <c:minorTickMark val="none"/>
        <c:tickLblPos val="nextTo"/>
        <c:crossAx val="400613216"/>
        <c:crosses val="max"/>
        <c:crossBetween val="between"/>
      </c:valAx>
      <c:catAx>
        <c:axId val="400613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0609296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3"/>
  <sheetViews>
    <sheetView zoomScale="7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4"/>
  <sheetViews>
    <sheetView zoomScale="7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5"/>
  <sheetViews>
    <sheetView tabSelected="1" zoomScale="70" workbookViewId="0" zoomToFit="1"/>
  </sheetViews>
  <pageMargins left="0.7" right="0.7" top="0.75" bottom="0.75" header="0.3" footer="0.3"/>
  <drawing r:id="rId1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304800</xdr:colOff>
      <xdr:row>50</xdr:row>
      <xdr:rowOff>47625</xdr:rowOff>
    </xdr:from>
    <xdr:ext cx="184731" cy="264560"/>
    <xdr:sp macro="" textlink="">
      <xdr:nvSpPr>
        <xdr:cNvPr id="2" name="TextBox 1"/>
        <xdr:cNvSpPr txBox="1"/>
      </xdr:nvSpPr>
      <xdr:spPr>
        <a:xfrm>
          <a:off x="9448800" y="9572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304800</xdr:colOff>
      <xdr:row>64</xdr:row>
      <xdr:rowOff>47625</xdr:rowOff>
    </xdr:from>
    <xdr:ext cx="184731" cy="264560"/>
    <xdr:sp macro="" textlink="">
      <xdr:nvSpPr>
        <xdr:cNvPr id="2" name="TextBox 1"/>
        <xdr:cNvSpPr txBox="1"/>
      </xdr:nvSpPr>
      <xdr:spPr>
        <a:xfrm>
          <a:off x="9448800" y="9572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2"/>
  <sheetViews>
    <sheetView zoomScaleNormal="100" workbookViewId="0"/>
  </sheetViews>
  <sheetFormatPr defaultRowHeight="14.5" x14ac:dyDescent="0.35"/>
  <sheetData>
    <row r="1" spans="1:15" x14ac:dyDescent="0.35">
      <c r="B1" s="15" t="s">
        <v>3</v>
      </c>
      <c r="C1" s="15"/>
      <c r="D1" s="1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x14ac:dyDescent="0.35">
      <c r="B3" s="1" t="s">
        <v>0</v>
      </c>
      <c r="C3" s="1" t="s">
        <v>1</v>
      </c>
      <c r="D3" s="1" t="s">
        <v>2</v>
      </c>
    </row>
    <row r="4" spans="1:15" x14ac:dyDescent="0.35">
      <c r="B4" s="1">
        <v>1</v>
      </c>
      <c r="C4" s="1">
        <v>2</v>
      </c>
      <c r="D4" s="1">
        <v>3</v>
      </c>
      <c r="E4" s="1"/>
    </row>
    <row r="5" spans="1:15" x14ac:dyDescent="0.35">
      <c r="A5">
        <v>1</v>
      </c>
      <c r="B5" s="2">
        <v>-0.107</v>
      </c>
      <c r="C5" s="2">
        <v>-0.10299999999999999</v>
      </c>
      <c r="D5" s="2">
        <v>-4.0000000000000001E-3</v>
      </c>
    </row>
    <row r="6" spans="1:15" x14ac:dyDescent="0.35">
      <c r="A6">
        <v>2</v>
      </c>
      <c r="B6" s="2">
        <v>-0.153</v>
      </c>
      <c r="C6" s="2">
        <v>-0.127</v>
      </c>
      <c r="D6" s="2">
        <v>-2.5999999999999999E-2</v>
      </c>
    </row>
    <row r="7" spans="1:15" x14ac:dyDescent="0.35">
      <c r="A7">
        <v>3</v>
      </c>
      <c r="B7" s="2">
        <v>-8.6999999999999994E-2</v>
      </c>
      <c r="C7" s="2">
        <v>-9.5000000000000001E-2</v>
      </c>
      <c r="D7" s="2">
        <v>8.0000000000000002E-3</v>
      </c>
    </row>
    <row r="8" spans="1:15" x14ac:dyDescent="0.35">
      <c r="A8">
        <v>4</v>
      </c>
      <c r="B8" s="2">
        <v>-4.5999999999999999E-2</v>
      </c>
      <c r="C8" s="2">
        <v>-6.3E-2</v>
      </c>
      <c r="D8" s="2">
        <v>1.6E-2</v>
      </c>
    </row>
    <row r="9" spans="1:15" x14ac:dyDescent="0.35">
      <c r="A9">
        <v>5</v>
      </c>
      <c r="B9" s="2">
        <v>-0.188</v>
      </c>
      <c r="C9" s="2">
        <v>-0.14699999999999999</v>
      </c>
      <c r="D9" s="2">
        <v>-0.04</v>
      </c>
    </row>
    <row r="10" spans="1:15" x14ac:dyDescent="0.35">
      <c r="A10">
        <v>6</v>
      </c>
      <c r="B10" s="2">
        <v>-6.6000000000000003E-2</v>
      </c>
      <c r="C10" s="2">
        <v>-6.8000000000000005E-2</v>
      </c>
      <c r="D10" s="2">
        <v>3.0000000000000001E-3</v>
      </c>
    </row>
    <row r="11" spans="1:15" x14ac:dyDescent="0.35">
      <c r="A11">
        <v>7</v>
      </c>
      <c r="B11" s="2">
        <v>-0.06</v>
      </c>
      <c r="C11" s="2">
        <v>-5.8999999999999997E-2</v>
      </c>
      <c r="D11" s="2">
        <v>-1E-3</v>
      </c>
    </row>
    <row r="12" spans="1:15" x14ac:dyDescent="0.35">
      <c r="A12">
        <v>8</v>
      </c>
      <c r="B12" s="2">
        <v>-5.7000000000000002E-2</v>
      </c>
      <c r="C12" s="2">
        <v>-7.3999999999999996E-2</v>
      </c>
      <c r="D12" s="2">
        <v>1.6E-2</v>
      </c>
    </row>
    <row r="13" spans="1:15" x14ac:dyDescent="0.35">
      <c r="A13">
        <v>9</v>
      </c>
      <c r="B13" s="2">
        <v>-8.9999999999999993E-3</v>
      </c>
      <c r="C13" s="2">
        <v>8.0000000000000002E-3</v>
      </c>
      <c r="D13" s="2">
        <v>-1.7999999999999999E-2</v>
      </c>
    </row>
    <row r="14" spans="1:15" x14ac:dyDescent="0.35">
      <c r="A14">
        <v>10</v>
      </c>
      <c r="B14" s="2">
        <v>-5.8999999999999997E-2</v>
      </c>
      <c r="C14" s="2">
        <v>-7.1999999999999995E-2</v>
      </c>
      <c r="D14" s="2">
        <v>1.2999999999999999E-2</v>
      </c>
    </row>
    <row r="15" spans="1:15" x14ac:dyDescent="0.35">
      <c r="B15" s="2"/>
      <c r="C15" s="2"/>
      <c r="D15" s="2"/>
    </row>
    <row r="16" spans="1:15" x14ac:dyDescent="0.35">
      <c r="B16" s="2"/>
      <c r="C16" s="2"/>
      <c r="D16" s="2"/>
    </row>
    <row r="17" spans="1:19" x14ac:dyDescent="0.35">
      <c r="B17" s="15" t="s">
        <v>7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9" spans="1:19" x14ac:dyDescent="0.35">
      <c r="B19" s="1" t="s">
        <v>0</v>
      </c>
      <c r="C19" s="1" t="s">
        <v>4</v>
      </c>
      <c r="D19" s="4" t="s">
        <v>10</v>
      </c>
      <c r="E19" s="1" t="s">
        <v>5</v>
      </c>
      <c r="F19" s="4" t="s">
        <v>11</v>
      </c>
      <c r="G19" s="5" t="s">
        <v>18</v>
      </c>
      <c r="H19" s="3" t="s">
        <v>8</v>
      </c>
      <c r="I19" s="5" t="s">
        <v>12</v>
      </c>
      <c r="J19" s="3" t="s">
        <v>9</v>
      </c>
      <c r="K19" s="5" t="s">
        <v>13</v>
      </c>
      <c r="L19" s="5" t="s">
        <v>19</v>
      </c>
      <c r="M19" s="5" t="s">
        <v>14</v>
      </c>
      <c r="N19" s="5" t="s">
        <v>15</v>
      </c>
      <c r="O19" s="5" t="s">
        <v>16</v>
      </c>
      <c r="P19" s="5" t="s">
        <v>17</v>
      </c>
      <c r="Q19" s="1" t="s">
        <v>6</v>
      </c>
      <c r="S19" s="5" t="s">
        <v>20</v>
      </c>
    </row>
    <row r="20" spans="1:19" x14ac:dyDescent="0.35">
      <c r="B20" s="1">
        <v>1</v>
      </c>
      <c r="C20" s="1">
        <v>2</v>
      </c>
      <c r="D20" s="4">
        <v>3</v>
      </c>
      <c r="E20" s="1">
        <v>4</v>
      </c>
      <c r="F20" s="4">
        <v>5</v>
      </c>
      <c r="G20" s="5">
        <v>6</v>
      </c>
      <c r="H20" s="3">
        <v>7</v>
      </c>
      <c r="I20" s="5">
        <v>8</v>
      </c>
      <c r="J20" s="3">
        <v>9</v>
      </c>
      <c r="K20" s="5">
        <v>10</v>
      </c>
      <c r="L20" s="5">
        <v>11</v>
      </c>
      <c r="M20" s="5">
        <v>12</v>
      </c>
      <c r="N20" s="5">
        <v>13</v>
      </c>
      <c r="O20" s="5">
        <v>14</v>
      </c>
      <c r="P20" s="5">
        <v>15</v>
      </c>
      <c r="Q20" s="1">
        <v>16</v>
      </c>
    </row>
    <row r="21" spans="1:19" x14ac:dyDescent="0.35">
      <c r="A21">
        <v>1</v>
      </c>
      <c r="B21" s="2">
        <v>-0.107</v>
      </c>
      <c r="C21" s="2">
        <v>1.6E-2</v>
      </c>
      <c r="D21" s="2">
        <v>-5.0000000000000001E-3</v>
      </c>
      <c r="E21" s="2">
        <v>-4.5999999999999999E-2</v>
      </c>
      <c r="F21" s="2">
        <v>-9.7000000000000003E-2</v>
      </c>
      <c r="G21" s="2">
        <v>6.0000000000000001E-3</v>
      </c>
      <c r="H21" s="2">
        <v>1.0999999999999999E-2</v>
      </c>
      <c r="I21" s="2">
        <v>-1.6E-2</v>
      </c>
      <c r="J21" s="2">
        <v>-2.7E-2</v>
      </c>
      <c r="K21" s="2">
        <v>-4.2000000000000003E-2</v>
      </c>
      <c r="L21" s="2">
        <v>0</v>
      </c>
      <c r="M21" s="2">
        <v>0</v>
      </c>
      <c r="N21" s="2">
        <v>-7.0000000000000001E-3</v>
      </c>
      <c r="O21" s="2">
        <v>3.1E-2</v>
      </c>
      <c r="P21" s="2">
        <v>7.6999999999999999E-2</v>
      </c>
      <c r="Q21" s="2">
        <v>-4.0000000000000001E-3</v>
      </c>
      <c r="S21" s="2">
        <f>B21-C21-D21-E21-F21-G21-H21-I21-J21-K21-L21-M21-N21-O21-P21-Q21</f>
        <v>-3.9999999999999793E-3</v>
      </c>
    </row>
    <row r="22" spans="1:19" x14ac:dyDescent="0.35">
      <c r="A22">
        <v>2</v>
      </c>
      <c r="B22" s="2">
        <v>-0.153</v>
      </c>
      <c r="C22" s="2">
        <v>1.2999999999999999E-2</v>
      </c>
      <c r="D22" s="2">
        <v>-1E-3</v>
      </c>
      <c r="E22" s="2">
        <v>-7.0999999999999994E-2</v>
      </c>
      <c r="F22" s="2">
        <v>-6.4000000000000001E-2</v>
      </c>
      <c r="G22" s="2">
        <v>-2E-3</v>
      </c>
      <c r="H22" s="2">
        <v>0</v>
      </c>
      <c r="I22" s="2">
        <v>-3.0000000000000001E-3</v>
      </c>
      <c r="J22" s="2">
        <v>-1.0999999999999999E-2</v>
      </c>
      <c r="K22" s="2">
        <v>-8.0000000000000002E-3</v>
      </c>
      <c r="L22" s="2">
        <v>0</v>
      </c>
      <c r="M22" s="2">
        <v>0</v>
      </c>
      <c r="N22" s="2">
        <v>0</v>
      </c>
      <c r="O22" s="2">
        <v>3.0000000000000001E-3</v>
      </c>
      <c r="P22" s="2">
        <v>1.9E-2</v>
      </c>
      <c r="Q22" s="2">
        <v>-2.5999999999999999E-2</v>
      </c>
      <c r="S22" s="2">
        <f t="shared" ref="S22:S30" si="0">B22-C22-D22-E22-F22-G22-H22-I22-J22-K22-L22-M22-N22-O22-P22-Q22</f>
        <v>-2.0000000000000122E-3</v>
      </c>
    </row>
    <row r="23" spans="1:19" x14ac:dyDescent="0.35">
      <c r="A23">
        <v>3</v>
      </c>
      <c r="B23" s="2">
        <v>-8.6999999999999994E-2</v>
      </c>
      <c r="C23" s="2">
        <v>2.1000000000000001E-2</v>
      </c>
      <c r="D23" s="2">
        <v>-2E-3</v>
      </c>
      <c r="E23" s="2">
        <v>-9.9000000000000005E-2</v>
      </c>
      <c r="F23" s="2">
        <v>-6.0999999999999999E-2</v>
      </c>
      <c r="G23" s="2">
        <v>-1E-3</v>
      </c>
      <c r="H23" s="2">
        <v>-2E-3</v>
      </c>
      <c r="I23" s="2">
        <v>-3.0000000000000001E-3</v>
      </c>
      <c r="J23" s="2">
        <v>3.5000000000000003E-2</v>
      </c>
      <c r="K23" s="2">
        <v>-1.7999999999999999E-2</v>
      </c>
      <c r="L23" s="2">
        <v>2E-3</v>
      </c>
      <c r="M23" s="2">
        <v>0</v>
      </c>
      <c r="N23" s="2">
        <v>-1E-3</v>
      </c>
      <c r="O23" s="2">
        <v>5.0000000000000001E-3</v>
      </c>
      <c r="P23" s="2">
        <v>0.03</v>
      </c>
      <c r="Q23" s="2">
        <v>8.0000000000000002E-3</v>
      </c>
      <c r="S23" s="2">
        <f t="shared" si="0"/>
        <v>-9.9999999999998701E-4</v>
      </c>
    </row>
    <row r="24" spans="1:19" x14ac:dyDescent="0.35">
      <c r="A24">
        <v>4</v>
      </c>
      <c r="B24" s="2">
        <v>-4.5999999999999999E-2</v>
      </c>
      <c r="C24" s="2">
        <v>3.5000000000000003E-2</v>
      </c>
      <c r="D24" s="2">
        <v>-3.0000000000000001E-3</v>
      </c>
      <c r="E24" s="2">
        <v>-0.02</v>
      </c>
      <c r="F24" s="2">
        <v>-0.12</v>
      </c>
      <c r="G24" s="2">
        <v>3.0000000000000001E-3</v>
      </c>
      <c r="H24" s="2">
        <v>-3.0000000000000001E-3</v>
      </c>
      <c r="I24" s="2">
        <v>-3.9E-2</v>
      </c>
      <c r="J24" s="2">
        <v>-1.7000000000000001E-2</v>
      </c>
      <c r="K24" s="2">
        <v>-4.7E-2</v>
      </c>
      <c r="L24" s="2">
        <v>1E-3</v>
      </c>
      <c r="M24" s="2">
        <v>-1E-3</v>
      </c>
      <c r="N24" s="2">
        <v>-4.0000000000000001E-3</v>
      </c>
      <c r="O24" s="2">
        <v>7.0999999999999994E-2</v>
      </c>
      <c r="P24" s="2">
        <v>7.8E-2</v>
      </c>
      <c r="Q24" s="2">
        <v>1.6E-2</v>
      </c>
      <c r="S24" s="2">
        <f t="shared" si="0"/>
        <v>4.0000000000000174E-3</v>
      </c>
    </row>
    <row r="25" spans="1:19" x14ac:dyDescent="0.35">
      <c r="A25">
        <v>5</v>
      </c>
      <c r="B25" s="2">
        <v>-0.188</v>
      </c>
      <c r="C25" s="2">
        <v>3.7999999999999999E-2</v>
      </c>
      <c r="D25" s="2">
        <v>-5.0000000000000001E-3</v>
      </c>
      <c r="E25" s="2">
        <v>-0.125</v>
      </c>
      <c r="F25" s="2">
        <v>-0.13</v>
      </c>
      <c r="G25" s="2">
        <v>-5.0000000000000001E-3</v>
      </c>
      <c r="H25" s="2">
        <v>-1.7999999999999999E-2</v>
      </c>
      <c r="I25" s="2">
        <v>-1.6E-2</v>
      </c>
      <c r="J25" s="2">
        <v>2.9000000000000001E-2</v>
      </c>
      <c r="K25" s="2">
        <v>-6.6000000000000003E-2</v>
      </c>
      <c r="L25" s="2">
        <v>4.0000000000000001E-3</v>
      </c>
      <c r="M25" s="2">
        <v>3.0000000000000001E-3</v>
      </c>
      <c r="N25" s="2">
        <v>-2E-3</v>
      </c>
      <c r="O25" s="2">
        <v>2.8000000000000001E-2</v>
      </c>
      <c r="P25" s="2">
        <v>0.122</v>
      </c>
      <c r="Q25" s="2">
        <v>-0.04</v>
      </c>
      <c r="S25" s="2">
        <f t="shared" si="0"/>
        <v>-4.9999999999999975E-3</v>
      </c>
    </row>
    <row r="26" spans="1:19" x14ac:dyDescent="0.35">
      <c r="A26">
        <v>6</v>
      </c>
      <c r="B26" s="2">
        <v>-6.6000000000000003E-2</v>
      </c>
      <c r="C26" s="2">
        <v>2.8000000000000001E-2</v>
      </c>
      <c r="D26" s="2">
        <v>-2E-3</v>
      </c>
      <c r="E26" s="2">
        <v>-8.6999999999999994E-2</v>
      </c>
      <c r="F26" s="2">
        <v>-6.5000000000000002E-2</v>
      </c>
      <c r="G26" s="2">
        <v>-3.0000000000000001E-3</v>
      </c>
      <c r="H26" s="2">
        <v>3.0000000000000001E-3</v>
      </c>
      <c r="I26" s="2">
        <v>-1E-3</v>
      </c>
      <c r="J26" s="2">
        <v>5.1999999999999998E-2</v>
      </c>
      <c r="K26" s="2">
        <v>-1.7999999999999999E-2</v>
      </c>
      <c r="L26" s="2">
        <v>0</v>
      </c>
      <c r="M26" s="2">
        <v>0</v>
      </c>
      <c r="N26" s="2">
        <v>-3.0000000000000001E-3</v>
      </c>
      <c r="O26" s="2">
        <v>1E-3</v>
      </c>
      <c r="P26" s="2">
        <v>2.9000000000000001E-2</v>
      </c>
      <c r="Q26" s="2">
        <v>3.0000000000000001E-3</v>
      </c>
      <c r="S26" s="2">
        <f t="shared" si="0"/>
        <v>-3.0000000000000035E-3</v>
      </c>
    </row>
    <row r="27" spans="1:19" x14ac:dyDescent="0.35">
      <c r="A27">
        <v>7</v>
      </c>
      <c r="B27" s="2">
        <v>-0.06</v>
      </c>
      <c r="C27" s="2">
        <v>2.3E-2</v>
      </c>
      <c r="D27" s="2">
        <v>-3.0000000000000001E-3</v>
      </c>
      <c r="E27" s="2">
        <v>-4.1000000000000002E-2</v>
      </c>
      <c r="F27" s="2">
        <v>-7.6999999999999999E-2</v>
      </c>
      <c r="G27" s="2">
        <v>2E-3</v>
      </c>
      <c r="H27" s="2">
        <v>2.1999999999999999E-2</v>
      </c>
      <c r="I27" s="2">
        <v>-1.2E-2</v>
      </c>
      <c r="J27" s="2">
        <v>-1.0999999999999999E-2</v>
      </c>
      <c r="K27" s="2">
        <v>-7.0000000000000001E-3</v>
      </c>
      <c r="L27" s="2">
        <v>2E-3</v>
      </c>
      <c r="M27" s="2">
        <v>0</v>
      </c>
      <c r="N27" s="2">
        <v>1E-3</v>
      </c>
      <c r="O27" s="2">
        <v>2.4E-2</v>
      </c>
      <c r="P27" s="2">
        <v>0.01</v>
      </c>
      <c r="Q27" s="2">
        <v>-1E-3</v>
      </c>
      <c r="S27" s="2">
        <f t="shared" si="0"/>
        <v>8.0000000000000071E-3</v>
      </c>
    </row>
    <row r="28" spans="1:19" x14ac:dyDescent="0.35">
      <c r="A28">
        <v>8</v>
      </c>
      <c r="B28" s="2">
        <v>-5.7000000000000002E-2</v>
      </c>
      <c r="C28" s="2">
        <v>2.5000000000000001E-2</v>
      </c>
      <c r="D28" s="2">
        <v>-8.9999999999999993E-3</v>
      </c>
      <c r="E28" s="2">
        <v>-8.0000000000000002E-3</v>
      </c>
      <c r="F28" s="2">
        <v>-9.1999999999999998E-2</v>
      </c>
      <c r="G28" s="2">
        <v>0</v>
      </c>
      <c r="H28" s="2">
        <v>5.0000000000000001E-3</v>
      </c>
      <c r="I28" s="2">
        <v>-3.0000000000000001E-3</v>
      </c>
      <c r="J28" s="2">
        <v>-2E-3</v>
      </c>
      <c r="K28" s="2">
        <v>-3.3000000000000002E-2</v>
      </c>
      <c r="L28" s="2">
        <v>0</v>
      </c>
      <c r="M28" s="2">
        <v>0</v>
      </c>
      <c r="N28" s="2">
        <v>-1E-3</v>
      </c>
      <c r="O28" s="2">
        <v>7.0000000000000001E-3</v>
      </c>
      <c r="P28" s="2">
        <v>4.7E-2</v>
      </c>
      <c r="Q28" s="2">
        <v>1.6E-2</v>
      </c>
      <c r="S28" s="2">
        <f t="shared" si="0"/>
        <v>-9.0000000000000011E-3</v>
      </c>
    </row>
    <row r="29" spans="1:19" x14ac:dyDescent="0.35">
      <c r="A29">
        <v>9</v>
      </c>
      <c r="B29" s="2">
        <v>-8.9999999999999993E-3</v>
      </c>
      <c r="C29" s="2">
        <v>6.2E-2</v>
      </c>
      <c r="D29" s="2">
        <v>-6.0000000000000001E-3</v>
      </c>
      <c r="E29" s="2">
        <v>5.0000000000000001E-3</v>
      </c>
      <c r="F29" s="2">
        <v>-5.0999999999999997E-2</v>
      </c>
      <c r="G29" s="2">
        <v>-1E-3</v>
      </c>
      <c r="H29" s="2">
        <v>-2E-3</v>
      </c>
      <c r="I29" s="2">
        <v>-3.0000000000000001E-3</v>
      </c>
      <c r="J29" s="2">
        <v>-4.0000000000000001E-3</v>
      </c>
      <c r="K29" s="2">
        <v>-1E-3</v>
      </c>
      <c r="L29" s="2">
        <v>0</v>
      </c>
      <c r="M29" s="2">
        <v>0</v>
      </c>
      <c r="N29" s="2">
        <v>0</v>
      </c>
      <c r="O29" s="2">
        <v>6.0000000000000001E-3</v>
      </c>
      <c r="P29" s="2">
        <v>1E-3</v>
      </c>
      <c r="Q29" s="2">
        <v>-1.7999999999999999E-2</v>
      </c>
      <c r="S29" s="2">
        <f t="shared" si="0"/>
        <v>3.0000000000000061E-3</v>
      </c>
    </row>
    <row r="30" spans="1:19" x14ac:dyDescent="0.35">
      <c r="A30">
        <v>10</v>
      </c>
      <c r="B30" s="2">
        <v>-5.8999999999999997E-2</v>
      </c>
      <c r="C30" s="2">
        <v>2.5000000000000001E-2</v>
      </c>
      <c r="D30" s="2">
        <v>-5.0000000000000001E-3</v>
      </c>
      <c r="E30" s="2">
        <v>-5.5E-2</v>
      </c>
      <c r="F30" s="2">
        <v>-5.7000000000000002E-2</v>
      </c>
      <c r="G30" s="2">
        <v>0</v>
      </c>
      <c r="H30" s="2">
        <v>1E-3</v>
      </c>
      <c r="I30" s="2">
        <v>0</v>
      </c>
      <c r="J30" s="2">
        <v>8.9999999999999993E-3</v>
      </c>
      <c r="K30" s="2">
        <v>-0.01</v>
      </c>
      <c r="L30" s="2">
        <v>0</v>
      </c>
      <c r="M30" s="2">
        <v>0</v>
      </c>
      <c r="N30" s="2">
        <v>0</v>
      </c>
      <c r="O30" s="2">
        <v>0</v>
      </c>
      <c r="P30" s="2">
        <v>0.02</v>
      </c>
      <c r="Q30" s="2">
        <v>1.2999999999999999E-2</v>
      </c>
      <c r="S30" s="2">
        <f t="shared" si="0"/>
        <v>1.5612511283791264E-17</v>
      </c>
    </row>
    <row r="31" spans="1:19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2"/>
    </row>
    <row r="32" spans="1:19" x14ac:dyDescent="0.35">
      <c r="B32" s="16" t="s">
        <v>27</v>
      </c>
      <c r="C32" s="16"/>
      <c r="D32" s="16"/>
      <c r="E32" s="16"/>
      <c r="F32" s="16"/>
      <c r="G32" s="16"/>
      <c r="H32" s="2"/>
      <c r="I32" s="2"/>
      <c r="J32" s="2"/>
      <c r="K32" s="2"/>
      <c r="L32" s="2"/>
      <c r="M32" s="16"/>
      <c r="N32" s="16"/>
      <c r="O32" s="16"/>
      <c r="P32" s="16"/>
      <c r="Q32" s="16"/>
      <c r="R32" s="16"/>
      <c r="S32" s="2"/>
    </row>
    <row r="34" spans="1:20" x14ac:dyDescent="0.35">
      <c r="B34" s="5" t="s">
        <v>0</v>
      </c>
      <c r="C34" s="5" t="s">
        <v>21</v>
      </c>
      <c r="D34" s="5" t="s">
        <v>22</v>
      </c>
      <c r="E34" s="5" t="s">
        <v>23</v>
      </c>
      <c r="F34" s="5" t="s">
        <v>24</v>
      </c>
      <c r="G34" s="5" t="s">
        <v>25</v>
      </c>
      <c r="I34" s="5" t="s">
        <v>26</v>
      </c>
      <c r="M34" s="5"/>
      <c r="N34" s="5"/>
      <c r="O34" s="5"/>
      <c r="P34" s="5"/>
      <c r="Q34" s="5"/>
      <c r="R34" s="5"/>
      <c r="T34" s="5"/>
    </row>
    <row r="35" spans="1:20" x14ac:dyDescent="0.35">
      <c r="B35" s="6">
        <v>1</v>
      </c>
      <c r="C35" s="6">
        <v>2</v>
      </c>
      <c r="D35" s="6">
        <v>3</v>
      </c>
      <c r="E35" s="6">
        <v>4</v>
      </c>
      <c r="F35" s="6">
        <v>5</v>
      </c>
      <c r="G35" s="6">
        <v>6</v>
      </c>
      <c r="M35" s="6"/>
      <c r="N35" s="6"/>
      <c r="O35" s="6"/>
      <c r="P35" s="6"/>
      <c r="Q35" s="6"/>
      <c r="R35" s="6"/>
    </row>
    <row r="36" spans="1:20" x14ac:dyDescent="0.35">
      <c r="A36">
        <v>1</v>
      </c>
      <c r="B36" s="2">
        <v>-0.107</v>
      </c>
      <c r="C36" s="2">
        <f>C21+D21+0.5*(G21+M21+N21)</f>
        <v>1.0499999999999999E-2</v>
      </c>
      <c r="D36" s="2">
        <f>E21+F21+0.5*(G21+O21+P21)</f>
        <v>-8.6000000000000021E-2</v>
      </c>
      <c r="E36" s="2">
        <f>H21+I21+0.5*(L21+M21+O21)</f>
        <v>1.0499999999999999E-2</v>
      </c>
      <c r="F36" s="2">
        <f>J21+K21+0.5*(L21+N21+P21)</f>
        <v>-3.4000000000000009E-2</v>
      </c>
      <c r="G36" s="2">
        <v>-4.0000000000000001E-3</v>
      </c>
      <c r="I36" s="2">
        <f>B36-C36-D36-E36-F36-G36</f>
        <v>-3.9999999999999584E-3</v>
      </c>
      <c r="M36" s="2"/>
      <c r="N36" s="2"/>
      <c r="O36" s="2"/>
      <c r="P36" s="2"/>
      <c r="Q36" s="2"/>
      <c r="R36" s="2"/>
      <c r="T36" s="2"/>
    </row>
    <row r="37" spans="1:20" x14ac:dyDescent="0.35">
      <c r="A37">
        <v>2</v>
      </c>
      <c r="B37" s="2">
        <v>-0.153</v>
      </c>
      <c r="C37" s="2">
        <f t="shared" ref="C37:C45" si="1">C22+D22+0.5*(G22+M22+N22)</f>
        <v>1.0999999999999999E-2</v>
      </c>
      <c r="D37" s="2">
        <f t="shared" ref="D37:D45" si="2">E22+F22+0.5*(G22+O22+P22)</f>
        <v>-0.125</v>
      </c>
      <c r="E37" s="2">
        <f t="shared" ref="E37:E45" si="3">H22+I22+0.5*(L22+M22+O22)</f>
        <v>-1.5E-3</v>
      </c>
      <c r="F37" s="2">
        <f t="shared" ref="F37:F45" si="4">J22+K22+0.5*(L22+N22+P22)</f>
        <v>-9.4999999999999998E-3</v>
      </c>
      <c r="G37" s="2">
        <v>-2.5999999999999999E-2</v>
      </c>
      <c r="I37" s="2">
        <f t="shared" ref="I37:I45" si="5">B37-C37-D37-E37-F37-G37</f>
        <v>-2.0000000000000052E-3</v>
      </c>
      <c r="M37" s="2"/>
      <c r="N37" s="2"/>
      <c r="O37" s="2"/>
      <c r="P37" s="2"/>
      <c r="Q37" s="2"/>
      <c r="R37" s="2"/>
      <c r="T37" s="2"/>
    </row>
    <row r="38" spans="1:20" x14ac:dyDescent="0.35">
      <c r="A38">
        <v>3</v>
      </c>
      <c r="B38" s="2">
        <v>-8.6999999999999994E-2</v>
      </c>
      <c r="C38" s="2">
        <f t="shared" si="1"/>
        <v>1.8000000000000002E-2</v>
      </c>
      <c r="D38" s="2">
        <f t="shared" si="2"/>
        <v>-0.14300000000000002</v>
      </c>
      <c r="E38" s="2">
        <f t="shared" si="3"/>
        <v>-1.5E-3</v>
      </c>
      <c r="F38" s="2">
        <f t="shared" si="4"/>
        <v>3.2500000000000001E-2</v>
      </c>
      <c r="G38" s="2">
        <v>8.0000000000000002E-3</v>
      </c>
      <c r="I38" s="2">
        <f t="shared" si="5"/>
        <v>-9.9999999999998007E-4</v>
      </c>
      <c r="M38" s="2"/>
      <c r="N38" s="2"/>
      <c r="O38" s="2"/>
      <c r="P38" s="2"/>
      <c r="Q38" s="2"/>
      <c r="R38" s="2"/>
      <c r="T38" s="2"/>
    </row>
    <row r="39" spans="1:20" x14ac:dyDescent="0.35">
      <c r="A39">
        <v>4</v>
      </c>
      <c r="B39" s="2">
        <v>-4.5999999999999999E-2</v>
      </c>
      <c r="C39" s="2">
        <f t="shared" si="1"/>
        <v>3.1E-2</v>
      </c>
      <c r="D39" s="2">
        <f t="shared" si="2"/>
        <v>-6.3999999999999987E-2</v>
      </c>
      <c r="E39" s="2">
        <f t="shared" si="3"/>
        <v>-6.5000000000000058E-3</v>
      </c>
      <c r="F39" s="2">
        <f t="shared" si="4"/>
        <v>-2.6500000000000003E-2</v>
      </c>
      <c r="G39" s="2">
        <v>1.6E-2</v>
      </c>
      <c r="I39" s="2">
        <f t="shared" si="5"/>
        <v>3.9999999999999966E-3</v>
      </c>
      <c r="M39" s="2"/>
      <c r="N39" s="2"/>
      <c r="O39" s="2"/>
      <c r="P39" s="2"/>
      <c r="Q39" s="2"/>
      <c r="R39" s="2"/>
      <c r="T39" s="2"/>
    </row>
    <row r="40" spans="1:20" x14ac:dyDescent="0.35">
      <c r="A40">
        <v>5</v>
      </c>
      <c r="B40" s="2">
        <v>-0.188</v>
      </c>
      <c r="C40" s="2">
        <f t="shared" si="1"/>
        <v>3.1E-2</v>
      </c>
      <c r="D40" s="2">
        <f t="shared" si="2"/>
        <v>-0.1825</v>
      </c>
      <c r="E40" s="2">
        <f t="shared" si="3"/>
        <v>-1.6500000000000001E-2</v>
      </c>
      <c r="F40" s="2">
        <f t="shared" si="4"/>
        <v>2.4999999999999994E-2</v>
      </c>
      <c r="G40" s="2">
        <v>-0.04</v>
      </c>
      <c r="I40" s="2">
        <f t="shared" si="5"/>
        <v>-4.9999999999999975E-3</v>
      </c>
      <c r="M40" s="2"/>
      <c r="N40" s="2"/>
      <c r="O40" s="2"/>
      <c r="P40" s="2"/>
      <c r="Q40" s="2"/>
      <c r="R40" s="2"/>
      <c r="T40" s="2"/>
    </row>
    <row r="41" spans="1:20" x14ac:dyDescent="0.35">
      <c r="A41">
        <v>6</v>
      </c>
      <c r="B41" s="2">
        <v>-6.6000000000000003E-2</v>
      </c>
      <c r="C41" s="2">
        <f t="shared" si="1"/>
        <v>2.3000000000000003E-2</v>
      </c>
      <c r="D41" s="2">
        <f t="shared" si="2"/>
        <v>-0.13849999999999998</v>
      </c>
      <c r="E41" s="2">
        <f t="shared" si="3"/>
        <v>2.5000000000000001E-3</v>
      </c>
      <c r="F41" s="2">
        <f t="shared" si="4"/>
        <v>4.7E-2</v>
      </c>
      <c r="G41" s="2">
        <v>3.0000000000000001E-3</v>
      </c>
      <c r="I41" s="2">
        <f t="shared" si="5"/>
        <v>-3.0000000000000278E-3</v>
      </c>
      <c r="M41" s="2"/>
      <c r="N41" s="2"/>
      <c r="O41" s="2"/>
      <c r="P41" s="2"/>
      <c r="Q41" s="2"/>
      <c r="R41" s="2"/>
      <c r="T41" s="2"/>
    </row>
    <row r="42" spans="1:20" x14ac:dyDescent="0.35">
      <c r="A42">
        <v>7</v>
      </c>
      <c r="B42" s="2">
        <v>-0.06</v>
      </c>
      <c r="C42" s="2">
        <f t="shared" si="1"/>
        <v>2.1500000000000002E-2</v>
      </c>
      <c r="D42" s="2">
        <f t="shared" si="2"/>
        <v>-9.9999999999999992E-2</v>
      </c>
      <c r="E42" s="2">
        <f t="shared" si="3"/>
        <v>2.3E-2</v>
      </c>
      <c r="F42" s="2">
        <f t="shared" si="4"/>
        <v>-1.1499999999999998E-2</v>
      </c>
      <c r="G42" s="2">
        <v>-1E-3</v>
      </c>
      <c r="I42" s="2">
        <f t="shared" si="5"/>
        <v>7.9999999999999863E-3</v>
      </c>
      <c r="M42" s="2"/>
      <c r="N42" s="2"/>
      <c r="O42" s="2"/>
      <c r="P42" s="2"/>
      <c r="Q42" s="2"/>
      <c r="R42" s="2"/>
      <c r="T42" s="2"/>
    </row>
    <row r="43" spans="1:20" x14ac:dyDescent="0.35">
      <c r="A43">
        <v>8</v>
      </c>
      <c r="B43" s="2">
        <v>-5.7000000000000002E-2</v>
      </c>
      <c r="C43" s="2">
        <f t="shared" si="1"/>
        <v>1.55E-2</v>
      </c>
      <c r="D43" s="2">
        <f t="shared" si="2"/>
        <v>-7.3000000000000009E-2</v>
      </c>
      <c r="E43" s="2">
        <f t="shared" si="3"/>
        <v>5.4999999999999997E-3</v>
      </c>
      <c r="F43" s="2">
        <f t="shared" si="4"/>
        <v>-1.2000000000000004E-2</v>
      </c>
      <c r="G43" s="2">
        <v>1.6E-2</v>
      </c>
      <c r="I43" s="2">
        <f t="shared" si="5"/>
        <v>-8.9999999999999959E-3</v>
      </c>
      <c r="M43" s="2"/>
      <c r="N43" s="2"/>
      <c r="O43" s="2"/>
      <c r="P43" s="2"/>
      <c r="Q43" s="2"/>
      <c r="R43" s="2"/>
      <c r="T43" s="2"/>
    </row>
    <row r="44" spans="1:20" x14ac:dyDescent="0.35">
      <c r="A44">
        <v>9</v>
      </c>
      <c r="B44" s="2">
        <v>-8.9999999999999993E-3</v>
      </c>
      <c r="C44" s="2">
        <f t="shared" si="1"/>
        <v>5.5500000000000001E-2</v>
      </c>
      <c r="D44" s="2">
        <f t="shared" si="2"/>
        <v>-4.2999999999999997E-2</v>
      </c>
      <c r="E44" s="2">
        <f t="shared" si="3"/>
        <v>-2E-3</v>
      </c>
      <c r="F44" s="2">
        <f t="shared" si="4"/>
        <v>-4.5000000000000005E-3</v>
      </c>
      <c r="G44" s="2">
        <v>-1.7999999999999999E-2</v>
      </c>
      <c r="I44" s="2">
        <f t="shared" si="5"/>
        <v>2.9999999999999957E-3</v>
      </c>
      <c r="M44" s="2"/>
      <c r="N44" s="2"/>
      <c r="O44" s="2"/>
      <c r="P44" s="2"/>
      <c r="Q44" s="2"/>
      <c r="R44" s="2"/>
      <c r="T44" s="2"/>
    </row>
    <row r="45" spans="1:20" x14ac:dyDescent="0.35">
      <c r="A45">
        <v>10</v>
      </c>
      <c r="B45" s="2">
        <v>-5.8999999999999997E-2</v>
      </c>
      <c r="C45" s="2">
        <f t="shared" si="1"/>
        <v>0.02</v>
      </c>
      <c r="D45" s="2">
        <f t="shared" si="2"/>
        <v>-0.10200000000000001</v>
      </c>
      <c r="E45" s="2">
        <f t="shared" si="3"/>
        <v>1E-3</v>
      </c>
      <c r="F45" s="2">
        <f t="shared" si="4"/>
        <v>8.9999999999999993E-3</v>
      </c>
      <c r="G45" s="2">
        <v>1.2999999999999999E-2</v>
      </c>
      <c r="I45" s="2">
        <f t="shared" si="5"/>
        <v>0</v>
      </c>
      <c r="M45" s="2"/>
      <c r="N45" s="2"/>
      <c r="O45" s="2"/>
      <c r="P45" s="2"/>
      <c r="Q45" s="2"/>
      <c r="R45" s="2"/>
      <c r="T45" s="2"/>
    </row>
    <row r="46" spans="1:20" x14ac:dyDescent="0.35">
      <c r="B46" s="2"/>
      <c r="C46" s="2"/>
      <c r="D46" s="2"/>
      <c r="E46" s="2"/>
      <c r="F46" s="2"/>
      <c r="G46" s="2"/>
      <c r="I46" s="2"/>
      <c r="M46" s="2"/>
      <c r="N46" s="2"/>
      <c r="O46" s="2"/>
      <c r="P46" s="2"/>
      <c r="Q46" s="2"/>
      <c r="R46" s="2"/>
      <c r="T46" s="2"/>
    </row>
    <row r="47" spans="1:20" x14ac:dyDescent="0.35">
      <c r="B47" s="2"/>
      <c r="C47" s="2"/>
      <c r="D47" s="2"/>
      <c r="E47" s="2"/>
      <c r="F47" s="2"/>
      <c r="G47" s="2"/>
      <c r="I47" s="2"/>
      <c r="M47" s="2"/>
      <c r="N47" s="2"/>
      <c r="O47" s="2"/>
      <c r="P47" s="2"/>
      <c r="Q47" s="2"/>
      <c r="R47" s="2"/>
      <c r="T47" s="2"/>
    </row>
    <row r="48" spans="1:20" x14ac:dyDescent="0.35">
      <c r="B48" s="2"/>
      <c r="C48" s="2"/>
      <c r="D48" s="2"/>
      <c r="E48" s="2"/>
      <c r="F48" s="2"/>
      <c r="G48" s="2"/>
      <c r="I48" s="2"/>
      <c r="M48" s="2"/>
      <c r="N48" s="2"/>
      <c r="O48" s="2"/>
      <c r="P48" s="2"/>
      <c r="Q48" s="2"/>
      <c r="R48" s="2"/>
      <c r="T48" s="2"/>
    </row>
    <row r="49" spans="1:20" x14ac:dyDescent="0.35">
      <c r="B49" s="15" t="s">
        <v>41</v>
      </c>
      <c r="C49" s="15"/>
      <c r="D49" s="15"/>
      <c r="E49" s="15"/>
      <c r="F49" s="15"/>
      <c r="G49" s="15"/>
      <c r="H49" s="15"/>
      <c r="I49" s="7"/>
      <c r="M49" s="2"/>
      <c r="N49" s="2"/>
      <c r="O49" s="2"/>
      <c r="P49" s="2"/>
      <c r="Q49" s="2"/>
      <c r="R49" s="2"/>
      <c r="S49" s="12" t="s">
        <v>34</v>
      </c>
      <c r="T49" s="2"/>
    </row>
    <row r="50" spans="1:20" x14ac:dyDescent="0.35">
      <c r="B50" s="6"/>
      <c r="C50" s="6"/>
      <c r="D50" s="6"/>
      <c r="E50" s="6"/>
      <c r="F50" s="6"/>
      <c r="G50" s="6"/>
      <c r="M50" s="2"/>
      <c r="N50" s="2"/>
      <c r="O50" s="2"/>
      <c r="P50" s="2"/>
      <c r="Q50" s="2"/>
      <c r="R50" s="2"/>
      <c r="T50" s="2"/>
    </row>
    <row r="51" spans="1:20" x14ac:dyDescent="0.35">
      <c r="A51" s="13">
        <v>1</v>
      </c>
      <c r="B51" s="2">
        <v>1.2E-2</v>
      </c>
      <c r="C51" s="2">
        <v>-4.0000000000000001E-3</v>
      </c>
      <c r="D51" s="2">
        <v>0.04</v>
      </c>
      <c r="E51" s="2">
        <v>-0.06</v>
      </c>
      <c r="F51" s="2">
        <v>-2.3E-2</v>
      </c>
      <c r="G51" s="2">
        <v>8.0000000000000002E-3</v>
      </c>
      <c r="H51" s="2">
        <v>1E-3</v>
      </c>
      <c r="I51" s="2">
        <v>-1.2999999999999999E-2</v>
      </c>
      <c r="J51" s="2">
        <v>-6.0000000000000001E-3</v>
      </c>
      <c r="K51" s="2">
        <v>-1.2E-2</v>
      </c>
      <c r="L51" s="2">
        <v>-4.0000000000000001E-3</v>
      </c>
      <c r="M51" s="2">
        <v>-2E-3</v>
      </c>
      <c r="N51" s="2">
        <v>-5.0000000000000001E-3</v>
      </c>
      <c r="O51" s="2">
        <v>-0.02</v>
      </c>
      <c r="P51" s="2">
        <v>1E-3</v>
      </c>
      <c r="Q51" s="2">
        <v>-1E-3</v>
      </c>
      <c r="S51" s="2">
        <f>SUM(B51:Q51)</f>
        <v>-8.8000000000000009E-2</v>
      </c>
    </row>
    <row r="52" spans="1:20" x14ac:dyDescent="0.35">
      <c r="A52" s="13">
        <v>2</v>
      </c>
      <c r="B52" s="2">
        <v>-0.02</v>
      </c>
      <c r="C52" s="2">
        <v>4.2999999999999997E-2</v>
      </c>
      <c r="D52" s="2">
        <v>-8.0000000000000002E-3</v>
      </c>
      <c r="E52" s="2">
        <v>-3.9E-2</v>
      </c>
      <c r="F52" s="2">
        <v>-2.1999999999999999E-2</v>
      </c>
      <c r="G52" s="2">
        <v>0.01</v>
      </c>
      <c r="H52" s="2">
        <v>-8.0000000000000002E-3</v>
      </c>
      <c r="I52" s="2">
        <v>-7.0000000000000001E-3</v>
      </c>
      <c r="J52" s="2">
        <v>-8.0000000000000002E-3</v>
      </c>
      <c r="K52" s="2">
        <v>-1.9E-2</v>
      </c>
      <c r="L52" s="2">
        <v>-3.0000000000000001E-3</v>
      </c>
      <c r="M52" s="2">
        <v>-7.0000000000000001E-3</v>
      </c>
      <c r="N52" s="2">
        <v>0</v>
      </c>
      <c r="O52" s="2">
        <v>1E-3</v>
      </c>
      <c r="P52" s="2">
        <v>-1.4E-2</v>
      </c>
      <c r="Q52" s="2">
        <v>-2.3E-2</v>
      </c>
      <c r="S52" s="2">
        <f t="shared" ref="S52:S60" si="6">SUM(B52:Q52)</f>
        <v>-0.124</v>
      </c>
    </row>
    <row r="53" spans="1:20" x14ac:dyDescent="0.35">
      <c r="A53" s="13">
        <v>3</v>
      </c>
      <c r="B53" s="2">
        <v>-2.7E-2</v>
      </c>
      <c r="C53" s="2">
        <v>0</v>
      </c>
      <c r="D53" s="2">
        <v>8.0000000000000002E-3</v>
      </c>
      <c r="E53" s="2">
        <v>-1.6E-2</v>
      </c>
      <c r="F53" s="2">
        <v>-1.7999999999999999E-2</v>
      </c>
      <c r="G53" s="2">
        <v>-7.0000000000000001E-3</v>
      </c>
      <c r="H53" s="2">
        <v>-7.0000000000000001E-3</v>
      </c>
      <c r="I53" s="2">
        <v>-1.4E-2</v>
      </c>
      <c r="J53" s="2">
        <v>-0.01</v>
      </c>
      <c r="K53" s="2">
        <v>-7.0000000000000001E-3</v>
      </c>
      <c r="L53" s="2">
        <v>-2E-3</v>
      </c>
      <c r="M53" s="2">
        <v>-7.0000000000000001E-3</v>
      </c>
      <c r="N53" s="2">
        <v>4.0000000000000001E-3</v>
      </c>
      <c r="O53" s="2">
        <v>-8.0000000000000002E-3</v>
      </c>
      <c r="P53" s="2">
        <v>-6.0000000000000001E-3</v>
      </c>
      <c r="Q53" s="2">
        <v>-2.5999999999999999E-2</v>
      </c>
      <c r="S53" s="2">
        <f t="shared" si="6"/>
        <v>-0.14300000000000002</v>
      </c>
    </row>
    <row r="54" spans="1:20" x14ac:dyDescent="0.35">
      <c r="A54" s="13">
        <v>4</v>
      </c>
      <c r="B54" s="2">
        <v>5.0000000000000001E-3</v>
      </c>
      <c r="C54" s="2">
        <v>-2.5000000000000001E-2</v>
      </c>
      <c r="D54" s="2">
        <v>-1.4E-2</v>
      </c>
      <c r="E54" s="2">
        <v>0</v>
      </c>
      <c r="F54" s="2">
        <v>8.9999999999999993E-3</v>
      </c>
      <c r="G54" s="2">
        <v>4.0000000000000001E-3</v>
      </c>
      <c r="H54" s="2">
        <v>4.0000000000000001E-3</v>
      </c>
      <c r="I54" s="2">
        <v>-4.0000000000000001E-3</v>
      </c>
      <c r="J54" s="2">
        <v>-6.0000000000000001E-3</v>
      </c>
      <c r="K54" s="2">
        <v>-3.0000000000000001E-3</v>
      </c>
      <c r="L54" s="2">
        <v>-8.9999999999999993E-3</v>
      </c>
      <c r="M54" s="2">
        <v>-1.6E-2</v>
      </c>
      <c r="N54" s="2">
        <v>1E-3</v>
      </c>
      <c r="O54" s="2">
        <v>0</v>
      </c>
      <c r="P54" s="2">
        <v>0</v>
      </c>
      <c r="Q54" s="2">
        <v>-1.0999999999999999E-2</v>
      </c>
      <c r="S54" s="2">
        <f t="shared" si="6"/>
        <v>-6.5000000000000002E-2</v>
      </c>
    </row>
    <row r="55" spans="1:20" x14ac:dyDescent="0.35">
      <c r="A55" s="13">
        <v>5</v>
      </c>
      <c r="B55" s="2">
        <v>-8.9999999999999993E-3</v>
      </c>
      <c r="C55" s="2">
        <v>-2.5999999999999999E-2</v>
      </c>
      <c r="D55" s="2">
        <v>1E-3</v>
      </c>
      <c r="E55" s="2">
        <v>-4.4999999999999998E-2</v>
      </c>
      <c r="F55" s="2">
        <v>-1.4999999999999999E-2</v>
      </c>
      <c r="G55" s="2">
        <v>-1.2E-2</v>
      </c>
      <c r="H55" s="2">
        <v>2E-3</v>
      </c>
      <c r="I55" s="2">
        <v>-2.1999999999999999E-2</v>
      </c>
      <c r="J55" s="2">
        <v>7.0000000000000001E-3</v>
      </c>
      <c r="K55" s="2">
        <v>-8.0000000000000002E-3</v>
      </c>
      <c r="L55" s="2">
        <v>-1.2999999999999999E-2</v>
      </c>
      <c r="M55" s="2">
        <v>6.0000000000000001E-3</v>
      </c>
      <c r="N55" s="2">
        <v>1.0999999999999999E-2</v>
      </c>
      <c r="O55" s="2">
        <v>-2.3E-2</v>
      </c>
      <c r="P55" s="2">
        <v>-2.4E-2</v>
      </c>
      <c r="Q55" s="2">
        <v>-1.2999999999999999E-2</v>
      </c>
      <c r="S55" s="2">
        <f t="shared" si="6"/>
        <v>-0.183</v>
      </c>
    </row>
    <row r="56" spans="1:20" x14ac:dyDescent="0.35">
      <c r="A56" s="13">
        <v>6</v>
      </c>
      <c r="B56" s="2">
        <v>1.7999999999999999E-2</v>
      </c>
      <c r="C56" s="2">
        <v>-8.0000000000000002E-3</v>
      </c>
      <c r="D56" s="2">
        <v>2.1000000000000001E-2</v>
      </c>
      <c r="E56" s="2">
        <v>-3.1E-2</v>
      </c>
      <c r="F56" s="2">
        <v>-4.4999999999999998E-2</v>
      </c>
      <c r="G56" s="2">
        <v>-2E-3</v>
      </c>
      <c r="H56" s="2">
        <v>-8.9999999999999993E-3</v>
      </c>
      <c r="I56" s="2">
        <v>-1.4E-2</v>
      </c>
      <c r="J56" s="2">
        <v>-1.4E-2</v>
      </c>
      <c r="K56" s="2">
        <v>-3.0000000000000001E-3</v>
      </c>
      <c r="L56" s="2">
        <v>-2.5999999999999999E-2</v>
      </c>
      <c r="M56" s="2">
        <v>1.2E-2</v>
      </c>
      <c r="N56" s="2">
        <v>-2E-3</v>
      </c>
      <c r="O56" s="2">
        <v>-8.0000000000000002E-3</v>
      </c>
      <c r="P56" s="2">
        <v>1.0999999999999999E-2</v>
      </c>
      <c r="Q56" s="2">
        <v>-0.04</v>
      </c>
      <c r="S56" s="2">
        <f t="shared" si="6"/>
        <v>-0.14000000000000001</v>
      </c>
    </row>
    <row r="57" spans="1:20" x14ac:dyDescent="0.35">
      <c r="A57" s="13">
        <v>7</v>
      </c>
      <c r="B57" s="2">
        <v>-8.0000000000000002E-3</v>
      </c>
      <c r="C57" s="13">
        <v>-4.0000000000000001E-3</v>
      </c>
      <c r="D57" s="2">
        <v>-1.4E-2</v>
      </c>
      <c r="E57" s="2">
        <v>-0.02</v>
      </c>
      <c r="F57" s="2">
        <v>-1.0999999999999999E-2</v>
      </c>
      <c r="G57" s="2">
        <v>-6.0000000000000001E-3</v>
      </c>
      <c r="H57" s="2">
        <v>-8.9999999999999993E-3</v>
      </c>
      <c r="I57" s="2">
        <v>-2E-3</v>
      </c>
      <c r="J57" s="2">
        <v>-8.9999999999999993E-3</v>
      </c>
      <c r="K57" s="2">
        <v>-8.0000000000000002E-3</v>
      </c>
      <c r="L57" s="2">
        <v>-8.0000000000000002E-3</v>
      </c>
      <c r="M57" s="2">
        <v>7.0000000000000001E-3</v>
      </c>
      <c r="N57" s="2">
        <v>2E-3</v>
      </c>
      <c r="O57" s="2">
        <v>-3.0000000000000001E-3</v>
      </c>
      <c r="P57" s="2">
        <v>-3.0000000000000001E-3</v>
      </c>
      <c r="Q57" s="2">
        <v>-3.0000000000000001E-3</v>
      </c>
      <c r="S57" s="2">
        <f t="shared" si="6"/>
        <v>-9.9000000000000005E-2</v>
      </c>
    </row>
    <row r="58" spans="1:20" x14ac:dyDescent="0.35">
      <c r="A58" s="13">
        <v>8</v>
      </c>
      <c r="B58" s="2">
        <v>-1.2E-2</v>
      </c>
      <c r="C58" s="13">
        <v>-3.9E-2</v>
      </c>
      <c r="D58" s="2">
        <v>3.3000000000000002E-2</v>
      </c>
      <c r="E58" s="2">
        <v>-1.4999999999999999E-2</v>
      </c>
      <c r="F58" s="2">
        <v>3.0000000000000001E-3</v>
      </c>
      <c r="G58" s="2">
        <v>8.0000000000000002E-3</v>
      </c>
      <c r="H58" s="2">
        <v>-2.9000000000000001E-2</v>
      </c>
      <c r="I58" s="2">
        <v>-8.0000000000000002E-3</v>
      </c>
      <c r="J58" s="2">
        <v>1.0999999999999999E-2</v>
      </c>
      <c r="K58" s="2">
        <v>-2.9000000000000001E-2</v>
      </c>
      <c r="L58" s="2">
        <v>0</v>
      </c>
      <c r="M58" s="2">
        <v>-3.0000000000000001E-3</v>
      </c>
      <c r="N58" s="2">
        <v>5.0000000000000001E-3</v>
      </c>
      <c r="O58" s="2">
        <v>0</v>
      </c>
      <c r="P58" s="2">
        <v>2E-3</v>
      </c>
      <c r="Q58" s="2">
        <v>-1E-3</v>
      </c>
      <c r="S58" s="2">
        <f t="shared" si="6"/>
        <v>-7.3999999999999996E-2</v>
      </c>
    </row>
    <row r="59" spans="1:20" x14ac:dyDescent="0.35">
      <c r="A59" s="13">
        <v>9</v>
      </c>
      <c r="B59" s="2">
        <v>3.0000000000000001E-3</v>
      </c>
      <c r="C59" s="13">
        <v>2E-3</v>
      </c>
      <c r="D59" s="2">
        <v>1.6E-2</v>
      </c>
      <c r="E59" s="2">
        <v>-2.1000000000000001E-2</v>
      </c>
      <c r="F59" s="2">
        <v>-6.0000000000000001E-3</v>
      </c>
      <c r="G59" s="2">
        <v>0</v>
      </c>
      <c r="H59" s="2">
        <v>-0.02</v>
      </c>
      <c r="I59" s="2">
        <v>6.0000000000000001E-3</v>
      </c>
      <c r="J59" s="2">
        <v>-1.6E-2</v>
      </c>
      <c r="K59" s="2">
        <v>1E-3</v>
      </c>
      <c r="L59" s="2">
        <v>2E-3</v>
      </c>
      <c r="M59" s="2">
        <v>0</v>
      </c>
      <c r="N59" s="2">
        <v>1E-3</v>
      </c>
      <c r="O59" s="2">
        <v>-6.0000000000000001E-3</v>
      </c>
      <c r="P59" s="2">
        <v>-3.0000000000000001E-3</v>
      </c>
      <c r="Q59" s="2">
        <v>-1E-3</v>
      </c>
      <c r="S59" s="2">
        <f t="shared" si="6"/>
        <v>-4.2000000000000003E-2</v>
      </c>
    </row>
    <row r="60" spans="1:20" x14ac:dyDescent="0.35">
      <c r="A60" s="13">
        <v>10</v>
      </c>
      <c r="B60" s="2">
        <v>-0.02</v>
      </c>
      <c r="C60" s="13">
        <v>-2.1999999999999999E-2</v>
      </c>
      <c r="D60" s="2">
        <v>8.9999999999999993E-3</v>
      </c>
      <c r="E60" s="2">
        <v>-3.5999999999999997E-2</v>
      </c>
      <c r="F60" s="2">
        <v>-1.9E-2</v>
      </c>
      <c r="G60" s="2">
        <v>8.0000000000000002E-3</v>
      </c>
      <c r="H60" s="2">
        <v>-1E-3</v>
      </c>
      <c r="I60" s="2">
        <v>-1.7000000000000001E-2</v>
      </c>
      <c r="J60" s="2">
        <v>-3.0000000000000001E-3</v>
      </c>
      <c r="K60" s="2">
        <v>-1.9E-2</v>
      </c>
      <c r="L60" s="2">
        <v>-1E-3</v>
      </c>
      <c r="M60" s="2">
        <v>7.0000000000000001E-3</v>
      </c>
      <c r="N60" s="2">
        <v>1.2999999999999999E-2</v>
      </c>
      <c r="O60" s="2">
        <v>-1E-3</v>
      </c>
      <c r="P60" s="2">
        <v>0.01</v>
      </c>
      <c r="Q60" s="2">
        <v>-8.9999999999999993E-3</v>
      </c>
      <c r="S60" s="2">
        <f t="shared" si="6"/>
        <v>-0.10099999999999999</v>
      </c>
    </row>
    <row r="61" spans="1:20" x14ac:dyDescent="0.35">
      <c r="C61" s="13"/>
    </row>
    <row r="62" spans="1:20" x14ac:dyDescent="0.35">
      <c r="C62" s="13"/>
    </row>
    <row r="63" spans="1:20" x14ac:dyDescent="0.35">
      <c r="C63" s="13"/>
    </row>
    <row r="64" spans="1:20" x14ac:dyDescent="0.35">
      <c r="C64" s="13"/>
    </row>
    <row r="65" spans="3:3" x14ac:dyDescent="0.35">
      <c r="C65" s="13"/>
    </row>
    <row r="66" spans="3:3" x14ac:dyDescent="0.35">
      <c r="C66" s="13"/>
    </row>
    <row r="67" spans="3:3" x14ac:dyDescent="0.35">
      <c r="C67" s="13"/>
    </row>
    <row r="68" spans="3:3" x14ac:dyDescent="0.35">
      <c r="C68" s="13"/>
    </row>
    <row r="69" spans="3:3" x14ac:dyDescent="0.35">
      <c r="C69" s="13"/>
    </row>
    <row r="70" spans="3:3" x14ac:dyDescent="0.35">
      <c r="C70" s="13"/>
    </row>
    <row r="71" spans="3:3" x14ac:dyDescent="0.35">
      <c r="C71" s="13"/>
    </row>
    <row r="72" spans="3:3" x14ac:dyDescent="0.35">
      <c r="C72" s="13"/>
    </row>
  </sheetData>
  <mergeCells count="5">
    <mergeCell ref="B1:D1"/>
    <mergeCell ref="B17:Q17"/>
    <mergeCell ref="M32:R32"/>
    <mergeCell ref="B32:G32"/>
    <mergeCell ref="B49:H49"/>
  </mergeCells>
  <pageMargins left="0.7" right="0.7" top="0.75" bottom="0.75" header="0.3" footer="0.3"/>
  <pageSetup scale="70" orientation="landscape" r:id="rId1"/>
  <ignoredErrors>
    <ignoredError sqref="S51:S60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J196"/>
  <sheetViews>
    <sheetView zoomScaleNormal="100" workbookViewId="0">
      <selection sqref="A1:A5"/>
    </sheetView>
  </sheetViews>
  <sheetFormatPr defaultRowHeight="14.5" x14ac:dyDescent="0.35"/>
  <cols>
    <col min="2" max="3" width="9.26953125" bestFit="1" customWidth="1"/>
    <col min="4" max="4" width="9.81640625" bestFit="1" customWidth="1"/>
    <col min="5" max="5" width="11.7265625" bestFit="1" customWidth="1"/>
    <col min="6" max="7" width="9.26953125" bestFit="1" customWidth="1"/>
    <col min="8" max="8" width="9.7265625" bestFit="1" customWidth="1"/>
    <col min="9" max="25" width="9.26953125" bestFit="1" customWidth="1"/>
    <col min="29" max="29" width="9.26953125" bestFit="1" customWidth="1"/>
  </cols>
  <sheetData>
    <row r="1" spans="1:31" x14ac:dyDescent="0.35">
      <c r="A1" s="15" t="s">
        <v>31</v>
      </c>
      <c r="C1">
        <v>1990</v>
      </c>
      <c r="D1">
        <v>5982468</v>
      </c>
      <c r="E1" s="11">
        <v>10314963</v>
      </c>
      <c r="G1" s="9">
        <f>(D1/E1)*1.12</f>
        <v>0.64957713953990914</v>
      </c>
      <c r="H1" s="9">
        <f>G1-AVERAGE(G$1:G$18)</f>
        <v>7.9676005469642153E-3</v>
      </c>
      <c r="X1" s="2">
        <v>0.254</v>
      </c>
      <c r="Y1">
        <f>X1-AVERAGE(X$1:X$17)</f>
        <v>5.4470588235294159E-2</v>
      </c>
      <c r="Z1" s="15" t="s">
        <v>32</v>
      </c>
      <c r="AA1" s="15"/>
      <c r="AB1" s="15"/>
      <c r="AC1" s="2">
        <v>0.254</v>
      </c>
      <c r="AD1" s="15" t="s">
        <v>33</v>
      </c>
      <c r="AE1" s="15"/>
    </row>
    <row r="2" spans="1:31" x14ac:dyDescent="0.35">
      <c r="A2" s="15"/>
      <c r="C2">
        <v>1991</v>
      </c>
      <c r="D2">
        <v>6460142</v>
      </c>
      <c r="E2">
        <v>10705322</v>
      </c>
      <c r="G2" s="9">
        <f>(D2/E2)*1.12</f>
        <v>0.67586561525192801</v>
      </c>
      <c r="H2" s="9">
        <f t="shared" ref="H2:H18" si="0">G2-AVERAGE(G$1:G$18)</f>
        <v>3.4256076258983081E-2</v>
      </c>
      <c r="I2" s="2">
        <f>G2-G1</f>
        <v>2.6288475712018866E-2</v>
      </c>
      <c r="K2" s="15" t="s">
        <v>42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2">
        <v>0.26500000000000001</v>
      </c>
      <c r="Y2">
        <f t="shared" ref="Y2:Y17" si="1">X2-AVERAGE(X$1:X$17)</f>
        <v>6.5470588235294169E-2</v>
      </c>
      <c r="AA2" s="15"/>
      <c r="AB2" s="15"/>
      <c r="AC2" s="2">
        <v>0.27</v>
      </c>
    </row>
    <row r="3" spans="1:31" x14ac:dyDescent="0.35">
      <c r="A3" s="15"/>
      <c r="C3">
        <v>1992</v>
      </c>
      <c r="D3">
        <v>6888553</v>
      </c>
      <c r="E3">
        <v>10950208</v>
      </c>
      <c r="G3" s="9">
        <f>(D3/E3)*1.12</f>
        <v>0.70456920635662823</v>
      </c>
      <c r="H3" s="9">
        <f t="shared" si="0"/>
        <v>6.2959667363683303E-2</v>
      </c>
      <c r="I3" s="2">
        <f>G3-G1</f>
        <v>5.4992066816719087E-2</v>
      </c>
      <c r="X3" s="2">
        <v>0.23899999999999999</v>
      </c>
      <c r="Y3">
        <f t="shared" si="1"/>
        <v>3.9470588235294146E-2</v>
      </c>
      <c r="AC3" s="2">
        <v>0.252</v>
      </c>
    </row>
    <row r="4" spans="1:31" x14ac:dyDescent="0.35">
      <c r="A4" s="15"/>
      <c r="C4">
        <v>1993</v>
      </c>
      <c r="D4">
        <v>7032461</v>
      </c>
      <c r="E4">
        <v>10893760</v>
      </c>
      <c r="G4" s="9">
        <f>(D4/E4)*1.12</f>
        <v>0.72301540698528333</v>
      </c>
      <c r="H4" s="9">
        <f t="shared" si="0"/>
        <v>8.1405867992338399E-2</v>
      </c>
      <c r="I4" s="2">
        <f>G4-G1</f>
        <v>7.3438267445374183E-2</v>
      </c>
      <c r="X4" s="2">
        <v>0.25700000000000001</v>
      </c>
      <c r="Y4">
        <f t="shared" si="1"/>
        <v>5.7470588235294162E-2</v>
      </c>
      <c r="AC4" s="2">
        <v>0.25900000000000001</v>
      </c>
    </row>
    <row r="5" spans="1:31" x14ac:dyDescent="0.35">
      <c r="A5" s="15"/>
      <c r="C5">
        <v>1994</v>
      </c>
      <c r="D5">
        <v>7090305</v>
      </c>
      <c r="E5">
        <v>11582856</v>
      </c>
      <c r="G5" s="9">
        <f>(D5/E5)*1.12</f>
        <v>0.68559443370443363</v>
      </c>
      <c r="H5" s="9">
        <f t="shared" si="0"/>
        <v>4.3984894711488698E-2</v>
      </c>
      <c r="I5" s="2">
        <f>G5-G1</f>
        <v>3.6017294164524483E-2</v>
      </c>
      <c r="X5" s="2">
        <v>0.224</v>
      </c>
      <c r="Y5">
        <f t="shared" si="1"/>
        <v>2.4470588235294161E-2</v>
      </c>
      <c r="AC5" s="2">
        <v>0.25</v>
      </c>
    </row>
    <row r="6" spans="1:31" x14ac:dyDescent="0.35">
      <c r="A6" s="15" t="s">
        <v>30</v>
      </c>
      <c r="C6">
        <v>1995</v>
      </c>
      <c r="D6">
        <v>48244</v>
      </c>
      <c r="E6">
        <v>74147</v>
      </c>
      <c r="G6" s="9">
        <f>D6/E6</f>
        <v>0.65065343169649481</v>
      </c>
      <c r="H6" s="9">
        <f t="shared" si="0"/>
        <v>9.0438927035498828E-3</v>
      </c>
      <c r="I6" s="2">
        <f>G6-G1</f>
        <v>1.0762921565856676E-3</v>
      </c>
      <c r="X6" s="2">
        <v>0.20699999999999999</v>
      </c>
      <c r="Y6">
        <f t="shared" si="1"/>
        <v>7.4705882352941455E-3</v>
      </c>
      <c r="AC6" s="2">
        <v>0.252</v>
      </c>
    </row>
    <row r="7" spans="1:31" x14ac:dyDescent="0.35">
      <c r="A7" s="15"/>
      <c r="C7">
        <v>1996</v>
      </c>
      <c r="D7">
        <v>51127</v>
      </c>
      <c r="E7">
        <v>78906</v>
      </c>
      <c r="G7" s="9">
        <f t="shared" ref="G7:G18" si="2">D7/E7</f>
        <v>0.64794819151902261</v>
      </c>
      <c r="H7" s="9">
        <f t="shared" si="0"/>
        <v>6.3386525260776816E-3</v>
      </c>
      <c r="I7" s="2">
        <f>G7-G1</f>
        <v>-1.6289480208865337E-3</v>
      </c>
      <c r="X7" s="2">
        <v>0.19600000000000001</v>
      </c>
      <c r="Y7">
        <f t="shared" si="1"/>
        <v>-3.5294117647058365E-3</v>
      </c>
      <c r="AC7" s="2">
        <v>0.23499999999999999</v>
      </c>
    </row>
    <row r="8" spans="1:31" x14ac:dyDescent="0.35">
      <c r="A8" s="15"/>
      <c r="C8">
        <v>1997</v>
      </c>
      <c r="D8">
        <v>55329</v>
      </c>
      <c r="E8">
        <v>85532</v>
      </c>
      <c r="G8" s="9">
        <f t="shared" si="2"/>
        <v>0.64688069962119443</v>
      </c>
      <c r="H8" s="9">
        <f t="shared" si="0"/>
        <v>5.2711606282495049E-3</v>
      </c>
      <c r="I8" s="2">
        <f>G8-G1</f>
        <v>-2.6964399187147103E-3</v>
      </c>
      <c r="X8" s="2">
        <v>0.184</v>
      </c>
      <c r="Y8">
        <f t="shared" si="1"/>
        <v>-1.5529411764705847E-2</v>
      </c>
      <c r="AC8" s="2">
        <v>0.22600000000000001</v>
      </c>
    </row>
    <row r="9" spans="1:31" x14ac:dyDescent="0.35">
      <c r="A9" s="15"/>
      <c r="C9">
        <v>1998</v>
      </c>
      <c r="D9">
        <v>57966</v>
      </c>
      <c r="E9">
        <v>91049</v>
      </c>
      <c r="G9" s="9">
        <f t="shared" si="2"/>
        <v>0.63664620149589779</v>
      </c>
      <c r="H9" s="9">
        <f t="shared" si="0"/>
        <v>-4.9633374970471378E-3</v>
      </c>
      <c r="I9" s="2">
        <f>G9-G1</f>
        <v>-1.2930938044011353E-2</v>
      </c>
      <c r="X9" s="2">
        <v>0.17699999999999999</v>
      </c>
      <c r="Y9">
        <f t="shared" si="1"/>
        <v>-2.2529411764705853E-2</v>
      </c>
      <c r="AC9" s="2">
        <v>0.22900000000000001</v>
      </c>
    </row>
    <row r="10" spans="1:31" x14ac:dyDescent="0.35">
      <c r="A10" s="15"/>
      <c r="C10">
        <v>1999</v>
      </c>
      <c r="D10">
        <v>60201</v>
      </c>
      <c r="E10">
        <v>96766</v>
      </c>
      <c r="G10" s="9">
        <f t="shared" si="2"/>
        <v>0.62212967364570204</v>
      </c>
      <c r="H10" s="9">
        <f t="shared" si="0"/>
        <v>-1.9479865347242886E-2</v>
      </c>
      <c r="I10" s="2">
        <f>G10-G1</f>
        <v>-2.7447465894207101E-2</v>
      </c>
      <c r="X10" s="2">
        <v>0.16</v>
      </c>
      <c r="Y10">
        <f t="shared" si="1"/>
        <v>-3.9529411764705841E-2</v>
      </c>
      <c r="AC10" s="2">
        <v>0.216</v>
      </c>
    </row>
    <row r="11" spans="1:31" x14ac:dyDescent="0.35">
      <c r="A11" s="15"/>
      <c r="C11">
        <v>2000</v>
      </c>
      <c r="D11">
        <v>63600</v>
      </c>
      <c r="E11">
        <v>103415</v>
      </c>
      <c r="G11" s="9">
        <f t="shared" si="2"/>
        <v>0.61499782430014993</v>
      </c>
      <c r="H11" s="9">
        <f t="shared" si="0"/>
        <v>-2.6611714692794997E-2</v>
      </c>
      <c r="I11" s="2">
        <f>G11-G1</f>
        <v>-3.4579315239759212E-2</v>
      </c>
      <c r="X11" s="2">
        <v>0.157</v>
      </c>
      <c r="Y11">
        <f t="shared" si="1"/>
        <v>-4.2529411764705843E-2</v>
      </c>
      <c r="AC11" s="2">
        <v>0.20200000000000001</v>
      </c>
    </row>
    <row r="12" spans="1:31" x14ac:dyDescent="0.35">
      <c r="A12" s="15"/>
      <c r="C12">
        <v>2001</v>
      </c>
      <c r="D12">
        <v>67265</v>
      </c>
      <c r="E12">
        <v>108985</v>
      </c>
      <c r="G12" s="9">
        <f t="shared" si="2"/>
        <v>0.61719502683855576</v>
      </c>
      <c r="H12" s="9">
        <f t="shared" si="0"/>
        <v>-2.4414512154389167E-2</v>
      </c>
      <c r="I12" s="2">
        <f>G12-G1</f>
        <v>-3.2382112701353383E-2</v>
      </c>
      <c r="X12" s="2">
        <v>0.182</v>
      </c>
      <c r="Y12">
        <f t="shared" si="1"/>
        <v>-1.7529411764705849E-2</v>
      </c>
      <c r="AC12" s="2">
        <v>0.23799999999999999</v>
      </c>
    </row>
    <row r="13" spans="1:31" x14ac:dyDescent="0.35">
      <c r="A13" s="15"/>
      <c r="C13">
        <v>2002</v>
      </c>
      <c r="D13">
        <v>68899</v>
      </c>
      <c r="E13">
        <v>111846</v>
      </c>
      <c r="G13" s="9">
        <f t="shared" si="2"/>
        <v>0.61601666577258019</v>
      </c>
      <c r="H13" s="9">
        <f t="shared" si="0"/>
        <v>-2.5592873220364742E-2</v>
      </c>
      <c r="I13" s="2">
        <f>G13-G1</f>
        <v>-3.3560473767328958E-2</v>
      </c>
      <c r="X13" s="2">
        <v>0.182</v>
      </c>
      <c r="Y13">
        <f t="shared" si="1"/>
        <v>-1.7529411764705849E-2</v>
      </c>
      <c r="AC13" s="2">
        <v>0.223</v>
      </c>
    </row>
    <row r="14" spans="1:31" x14ac:dyDescent="0.35">
      <c r="A14" s="15"/>
      <c r="C14">
        <v>2003</v>
      </c>
      <c r="D14">
        <v>71928</v>
      </c>
      <c r="E14">
        <v>115154</v>
      </c>
      <c r="G14" s="9">
        <f t="shared" si="2"/>
        <v>0.62462441599944418</v>
      </c>
      <c r="H14" s="9">
        <f t="shared" si="0"/>
        <v>-1.6985122993500745E-2</v>
      </c>
      <c r="I14" s="2">
        <f>G14-G1</f>
        <v>-2.4952723540464961E-2</v>
      </c>
      <c r="X14" s="2">
        <v>0.16300000000000001</v>
      </c>
      <c r="Y14">
        <f t="shared" si="1"/>
        <v>-3.6529411764705838E-2</v>
      </c>
      <c r="AC14" s="2">
        <v>0.189</v>
      </c>
    </row>
    <row r="15" spans="1:31" x14ac:dyDescent="0.35">
      <c r="A15" s="15"/>
      <c r="C15">
        <v>2004</v>
      </c>
      <c r="D15">
        <v>73590</v>
      </c>
      <c r="E15">
        <v>119555</v>
      </c>
      <c r="G15" s="9">
        <f t="shared" si="2"/>
        <v>0.61553260005855048</v>
      </c>
      <c r="H15" s="9">
        <f t="shared" si="0"/>
        <v>-2.6076938934394445E-2</v>
      </c>
      <c r="I15" s="2">
        <f>G15-G1</f>
        <v>-3.404453948135866E-2</v>
      </c>
      <c r="X15" s="2">
        <v>0.183</v>
      </c>
      <c r="Y15">
        <f t="shared" si="1"/>
        <v>-1.6529411764705848E-2</v>
      </c>
      <c r="AC15" s="2">
        <v>0.223</v>
      </c>
    </row>
    <row r="16" spans="1:31" x14ac:dyDescent="0.35">
      <c r="A16" s="15"/>
      <c r="C16">
        <v>2005</v>
      </c>
      <c r="D16">
        <v>76712</v>
      </c>
      <c r="E16">
        <v>125014</v>
      </c>
      <c r="G16" s="9">
        <f t="shared" si="2"/>
        <v>0.61362727374534054</v>
      </c>
      <c r="H16" s="9">
        <f t="shared" si="0"/>
        <v>-2.7982265247604388E-2</v>
      </c>
      <c r="I16" s="2">
        <f>G16-G1</f>
        <v>-3.5949865794568603E-2</v>
      </c>
      <c r="X16" s="2">
        <v>0.183</v>
      </c>
      <c r="Y16">
        <f t="shared" si="1"/>
        <v>-1.6529411764705848E-2</v>
      </c>
      <c r="AC16" s="2">
        <v>0.217</v>
      </c>
    </row>
    <row r="17" spans="1:29" x14ac:dyDescent="0.35">
      <c r="A17" s="15"/>
      <c r="C17">
        <v>2006</v>
      </c>
      <c r="D17">
        <v>79966</v>
      </c>
      <c r="E17">
        <v>132633</v>
      </c>
      <c r="G17" s="9">
        <f t="shared" si="2"/>
        <v>0.6029117941990304</v>
      </c>
      <c r="H17" s="9">
        <f t="shared" si="0"/>
        <v>-3.8697744793914524E-2</v>
      </c>
      <c r="I17" s="2">
        <f>G17-G1</f>
        <v>-4.6665345340878739E-2</v>
      </c>
      <c r="X17" s="2">
        <v>0.17899999999999999</v>
      </c>
      <c r="Y17">
        <f t="shared" si="1"/>
        <v>-2.0529411764705852E-2</v>
      </c>
      <c r="AC17" s="2">
        <v>0.223</v>
      </c>
    </row>
    <row r="18" spans="1:29" x14ac:dyDescent="0.35">
      <c r="D18">
        <v>83429</v>
      </c>
      <c r="E18">
        <v>138774</v>
      </c>
      <c r="G18" s="9">
        <f t="shared" si="2"/>
        <v>0.60118610114286541</v>
      </c>
      <c r="H18" s="9">
        <f t="shared" si="0"/>
        <v>-4.0423437850079513E-2</v>
      </c>
      <c r="I18" s="2">
        <f>G18-G1</f>
        <v>-4.8391038397043729E-2</v>
      </c>
    </row>
    <row r="19" spans="1:29" x14ac:dyDescent="0.35">
      <c r="G19" s="9"/>
      <c r="H19" s="9"/>
      <c r="I19" s="2"/>
    </row>
    <row r="20" spans="1:29" x14ac:dyDescent="0.35">
      <c r="G20" s="9"/>
      <c r="H20" s="9"/>
      <c r="I20" s="2"/>
    </row>
    <row r="21" spans="1:29" x14ac:dyDescent="0.35">
      <c r="D21" s="15" t="s">
        <v>35</v>
      </c>
      <c r="E21" s="15"/>
      <c r="F21" s="15"/>
      <c r="G21" s="15"/>
      <c r="H21" s="15"/>
      <c r="I21" s="2"/>
    </row>
    <row r="23" spans="1:29" x14ac:dyDescent="0.35">
      <c r="B23" t="s">
        <v>28</v>
      </c>
      <c r="D23" s="8" t="s">
        <v>0</v>
      </c>
      <c r="H23">
        <v>1991</v>
      </c>
      <c r="I23">
        <v>1992</v>
      </c>
      <c r="J23">
        <v>1993</v>
      </c>
      <c r="K23">
        <v>1994</v>
      </c>
      <c r="L23">
        <v>1995</v>
      </c>
      <c r="M23">
        <v>1996</v>
      </c>
      <c r="N23">
        <v>1997</v>
      </c>
      <c r="O23">
        <v>1998</v>
      </c>
      <c r="P23">
        <v>1999</v>
      </c>
      <c r="Q23">
        <v>2000</v>
      </c>
      <c r="R23">
        <v>2001</v>
      </c>
      <c r="S23">
        <v>2002</v>
      </c>
      <c r="T23">
        <v>2003</v>
      </c>
      <c r="U23">
        <v>2004</v>
      </c>
      <c r="V23">
        <v>2005</v>
      </c>
      <c r="W23">
        <v>2006</v>
      </c>
    </row>
    <row r="24" spans="1:29" x14ac:dyDescent="0.35">
      <c r="A24">
        <v>1</v>
      </c>
      <c r="B24">
        <v>0.13200000000000001</v>
      </c>
      <c r="D24">
        <v>-0.107</v>
      </c>
      <c r="F24" s="2">
        <f>B24*D24</f>
        <v>-1.4124000000000001E-2</v>
      </c>
      <c r="H24" s="2">
        <v>1.2E-2</v>
      </c>
      <c r="I24" s="2">
        <v>1.7000000000000001E-2</v>
      </c>
      <c r="J24" s="2">
        <v>-3.5000000000000003E-2</v>
      </c>
      <c r="K24" s="2">
        <v>-4.1000000000000002E-2</v>
      </c>
      <c r="L24" s="2">
        <v>-2.4E-2</v>
      </c>
      <c r="M24" s="2">
        <v>2.5999999999999999E-2</v>
      </c>
      <c r="N24" s="2">
        <v>-1.2E-2</v>
      </c>
      <c r="O24" s="2">
        <v>-8.0000000000000002E-3</v>
      </c>
      <c r="P24" s="2">
        <v>1.4E-2</v>
      </c>
      <c r="Q24" s="2">
        <v>-1.7000000000000001E-2</v>
      </c>
      <c r="R24" s="2">
        <v>2E-3</v>
      </c>
      <c r="S24" s="2">
        <v>-1E-3</v>
      </c>
      <c r="T24" s="2">
        <v>-8.9999999999999993E-3</v>
      </c>
      <c r="U24" s="2">
        <v>-2.1000000000000001E-2</v>
      </c>
      <c r="V24" s="2">
        <v>3.0000000000000001E-3</v>
      </c>
      <c r="W24" s="2">
        <v>-1.2999999999999999E-2</v>
      </c>
      <c r="X24" s="2"/>
    </row>
    <row r="25" spans="1:29" x14ac:dyDescent="0.35">
      <c r="A25">
        <v>2</v>
      </c>
      <c r="B25">
        <v>8.2000000000000003E-2</v>
      </c>
      <c r="D25">
        <v>-0.153</v>
      </c>
      <c r="F25" s="2">
        <f t="shared" ref="F25:F33" si="3">B25*D25</f>
        <v>-1.2546E-2</v>
      </c>
      <c r="H25" s="2">
        <v>-1.4E-2</v>
      </c>
      <c r="I25" s="2">
        <v>4.8000000000000001E-2</v>
      </c>
      <c r="J25" s="2">
        <v>-2E-3</v>
      </c>
      <c r="K25" s="2">
        <v>-6.7000000000000004E-2</v>
      </c>
      <c r="L25" s="2">
        <v>-2.5000000000000001E-2</v>
      </c>
      <c r="M25" s="2">
        <v>8.0000000000000002E-3</v>
      </c>
      <c r="N25" s="2">
        <v>-1.6E-2</v>
      </c>
      <c r="O25" s="2">
        <v>-3.0000000000000001E-3</v>
      </c>
      <c r="P25" s="2">
        <v>-5.0000000000000001E-3</v>
      </c>
      <c r="Q25" s="2">
        <v>-1.7999999999999999E-2</v>
      </c>
      <c r="R25" s="2">
        <v>-2.5999999999999999E-2</v>
      </c>
      <c r="S25" s="2">
        <v>-2E-3</v>
      </c>
      <c r="T25" s="2">
        <v>2E-3</v>
      </c>
      <c r="U25" s="2">
        <v>7.0000000000000001E-3</v>
      </c>
      <c r="V25" s="2">
        <v>-1.4999999999999999E-2</v>
      </c>
      <c r="W25" s="2">
        <v>-2.5999999999999999E-2</v>
      </c>
    </row>
    <row r="26" spans="1:29" x14ac:dyDescent="0.35">
      <c r="A26">
        <v>3</v>
      </c>
      <c r="B26">
        <v>0.13900000000000001</v>
      </c>
      <c r="D26">
        <v>-8.6999999999999994E-2</v>
      </c>
      <c r="F26" s="2">
        <f t="shared" si="3"/>
        <v>-1.2093E-2</v>
      </c>
      <c r="H26" s="2">
        <v>-1.6E-2</v>
      </c>
      <c r="I26" s="2">
        <v>5.0000000000000001E-3</v>
      </c>
      <c r="J26" s="2">
        <v>1.7000000000000001E-2</v>
      </c>
      <c r="K26" s="2">
        <v>-1.2999999999999999E-2</v>
      </c>
      <c r="L26" s="2">
        <v>-1.7000000000000001E-2</v>
      </c>
      <c r="M26" s="2">
        <v>7.0000000000000001E-3</v>
      </c>
      <c r="N26" s="2">
        <v>-1.2999999999999999E-2</v>
      </c>
      <c r="O26" s="2">
        <v>-6.0000000000000001E-3</v>
      </c>
      <c r="P26" s="2">
        <v>-8.0000000000000002E-3</v>
      </c>
      <c r="Q26" s="2">
        <v>-1.4E-2</v>
      </c>
      <c r="R26" s="2">
        <v>0</v>
      </c>
      <c r="S26" s="2">
        <v>-3.0000000000000001E-3</v>
      </c>
      <c r="T26" s="2">
        <v>4.0000000000000001E-3</v>
      </c>
      <c r="U26" s="2">
        <v>-4.0000000000000001E-3</v>
      </c>
      <c r="V26" s="2">
        <v>3.0000000000000001E-3</v>
      </c>
      <c r="W26" s="2">
        <v>-2.8000000000000001E-2</v>
      </c>
    </row>
    <row r="27" spans="1:29" x14ac:dyDescent="0.35">
      <c r="A27">
        <v>4</v>
      </c>
      <c r="B27">
        <v>7.0999999999999994E-2</v>
      </c>
      <c r="D27">
        <v>-4.2999999999999997E-2</v>
      </c>
      <c r="F27" s="2">
        <f t="shared" si="3"/>
        <v>-3.0529999999999993E-3</v>
      </c>
      <c r="H27" s="2">
        <v>1.4999999999999999E-2</v>
      </c>
      <c r="I27" s="2">
        <v>5.0000000000000001E-3</v>
      </c>
      <c r="J27" s="2">
        <v>7.0000000000000001E-3</v>
      </c>
      <c r="K27" s="2">
        <v>-1.4E-2</v>
      </c>
      <c r="L27" s="2">
        <v>-1.7999999999999999E-2</v>
      </c>
      <c r="M27" s="2">
        <v>7.0000000000000001E-3</v>
      </c>
      <c r="N27" s="2">
        <v>-1.7000000000000001E-2</v>
      </c>
      <c r="O27" s="2">
        <v>-3.0000000000000001E-3</v>
      </c>
      <c r="P27" s="2">
        <v>-5.0000000000000001E-3</v>
      </c>
      <c r="Q27" s="2">
        <v>-8.0000000000000002E-3</v>
      </c>
      <c r="R27" s="2">
        <v>-1E-3</v>
      </c>
      <c r="S27" s="2">
        <v>-5.0000000000000001E-3</v>
      </c>
      <c r="T27" s="2">
        <v>6.0000000000000001E-3</v>
      </c>
      <c r="U27" s="2">
        <v>-0.01</v>
      </c>
      <c r="V27" s="2">
        <v>4.0000000000000001E-3</v>
      </c>
      <c r="W27" s="2">
        <v>-8.0000000000000002E-3</v>
      </c>
    </row>
    <row r="28" spans="1:29" x14ac:dyDescent="0.35">
      <c r="A28">
        <v>5</v>
      </c>
      <c r="B28">
        <v>7.4999999999999997E-2</v>
      </c>
      <c r="D28">
        <v>-0.188</v>
      </c>
      <c r="F28" s="2">
        <f t="shared" si="3"/>
        <v>-1.41E-2</v>
      </c>
      <c r="H28" s="2">
        <v>-1.0999999999999999E-2</v>
      </c>
      <c r="I28" s="2">
        <v>-1.7000000000000001E-2</v>
      </c>
      <c r="J28" s="2">
        <v>0.01</v>
      </c>
      <c r="K28" s="2">
        <v>-7.8E-2</v>
      </c>
      <c r="L28" s="2">
        <v>-7.0000000000000001E-3</v>
      </c>
      <c r="M28" s="2">
        <v>-1.6E-2</v>
      </c>
      <c r="N28" s="2">
        <v>-2E-3</v>
      </c>
      <c r="O28" s="2">
        <v>-1.6E-2</v>
      </c>
      <c r="P28" s="2">
        <v>2E-3</v>
      </c>
      <c r="Q28" s="2">
        <v>-1.4999999999999999E-2</v>
      </c>
      <c r="R28" s="2">
        <v>-6.0000000000000001E-3</v>
      </c>
      <c r="S28" s="2">
        <v>8.0000000000000002E-3</v>
      </c>
      <c r="T28" s="2">
        <v>1.4E-2</v>
      </c>
      <c r="U28" s="2">
        <v>-0.03</v>
      </c>
      <c r="V28" s="2">
        <v>-3.0000000000000001E-3</v>
      </c>
      <c r="W28" s="2">
        <v>-2.1999999999999999E-2</v>
      </c>
    </row>
    <row r="29" spans="1:29" x14ac:dyDescent="0.35">
      <c r="A29">
        <v>6</v>
      </c>
      <c r="B29">
        <v>0.11600000000000001</v>
      </c>
      <c r="D29">
        <v>-6.6000000000000003E-2</v>
      </c>
      <c r="F29" s="2">
        <f t="shared" si="3"/>
        <v>-7.6560000000000005E-3</v>
      </c>
      <c r="H29" s="2">
        <v>3.3000000000000002E-2</v>
      </c>
      <c r="I29" s="2">
        <v>-0.01</v>
      </c>
      <c r="J29" s="2">
        <v>3.3000000000000002E-2</v>
      </c>
      <c r="K29" s="2">
        <v>-7.0000000000000001E-3</v>
      </c>
      <c r="L29" s="2">
        <v>-3.9E-2</v>
      </c>
      <c r="M29" s="2">
        <v>4.0000000000000001E-3</v>
      </c>
      <c r="N29" s="2">
        <v>-1.6E-2</v>
      </c>
      <c r="O29" s="2">
        <v>-1.9E-2</v>
      </c>
      <c r="P29" s="2">
        <v>-1.2999999999999999E-2</v>
      </c>
      <c r="Q29" s="2">
        <v>-1E-3</v>
      </c>
      <c r="R29" s="2">
        <v>0</v>
      </c>
      <c r="S29" s="2">
        <v>0.01</v>
      </c>
      <c r="T29" s="2">
        <v>-7.0000000000000001E-3</v>
      </c>
      <c r="U29" s="2">
        <v>-6.0000000000000001E-3</v>
      </c>
      <c r="V29" s="2">
        <v>1.4E-2</v>
      </c>
      <c r="W29" s="2">
        <v>-4.1000000000000002E-2</v>
      </c>
    </row>
    <row r="30" spans="1:29" x14ac:dyDescent="0.35">
      <c r="A30">
        <v>7</v>
      </c>
      <c r="B30">
        <v>0.14499999999999999</v>
      </c>
      <c r="D30">
        <v>-0.06</v>
      </c>
      <c r="F30" s="2">
        <f t="shared" si="3"/>
        <v>-8.6999999999999994E-3</v>
      </c>
      <c r="H30" s="2">
        <v>-0.01</v>
      </c>
      <c r="I30" s="2">
        <v>8.0000000000000002E-3</v>
      </c>
      <c r="J30" s="2">
        <v>-5.0000000000000001E-3</v>
      </c>
      <c r="K30" s="2">
        <v>-1.4999999999999999E-2</v>
      </c>
      <c r="L30" s="2">
        <v>-0.01</v>
      </c>
      <c r="M30" s="2">
        <v>-8.0000000000000002E-3</v>
      </c>
      <c r="N30" s="2">
        <v>-7.0000000000000001E-3</v>
      </c>
      <c r="O30" s="2">
        <v>1E-3</v>
      </c>
      <c r="P30" s="2">
        <v>-4.0000000000000001E-3</v>
      </c>
      <c r="Q30" s="2">
        <v>0</v>
      </c>
      <c r="R30" s="2">
        <v>-2E-3</v>
      </c>
      <c r="S30" s="2">
        <v>3.0000000000000001E-3</v>
      </c>
      <c r="T30" s="2">
        <v>0</v>
      </c>
      <c r="U30" s="2">
        <v>-5.0000000000000001E-3</v>
      </c>
      <c r="V30" s="2">
        <v>-1E-3</v>
      </c>
      <c r="W30" s="2">
        <v>-5.0000000000000001E-3</v>
      </c>
    </row>
    <row r="31" spans="1:29" x14ac:dyDescent="0.35">
      <c r="A31">
        <v>8</v>
      </c>
      <c r="B31">
        <v>7.5999999999999998E-2</v>
      </c>
      <c r="D31">
        <v>-5.7000000000000002E-2</v>
      </c>
      <c r="F31" s="2">
        <f t="shared" si="3"/>
        <v>-4.3319999999999999E-3</v>
      </c>
      <c r="H31" s="2">
        <v>5.0000000000000001E-3</v>
      </c>
      <c r="I31" s="2">
        <v>-0.02</v>
      </c>
      <c r="J31" s="2">
        <v>3.6999999999999998E-2</v>
      </c>
      <c r="K31" s="2">
        <v>-6.2E-2</v>
      </c>
      <c r="L31" s="2">
        <v>-1.2E-2</v>
      </c>
      <c r="M31" s="2">
        <v>1.2E-2</v>
      </c>
      <c r="N31" s="2">
        <v>-3.2000000000000001E-2</v>
      </c>
      <c r="O31" s="2">
        <v>-1E-3</v>
      </c>
      <c r="P31" s="2">
        <v>2.4E-2</v>
      </c>
      <c r="Q31" s="2">
        <v>-2.1999999999999999E-2</v>
      </c>
      <c r="R31" s="2">
        <v>1E-3</v>
      </c>
      <c r="S31" s="2">
        <v>6.0000000000000001E-3</v>
      </c>
      <c r="T31" s="2">
        <v>7.0000000000000001E-3</v>
      </c>
      <c r="U31" s="2">
        <v>6.0000000000000001E-3</v>
      </c>
      <c r="V31" s="2">
        <v>3.0000000000000001E-3</v>
      </c>
      <c r="W31" s="2">
        <v>-8.0000000000000002E-3</v>
      </c>
    </row>
    <row r="32" spans="1:29" x14ac:dyDescent="0.35">
      <c r="A32">
        <v>9</v>
      </c>
      <c r="B32">
        <v>7.0000000000000007E-2</v>
      </c>
      <c r="D32">
        <v>-8.9999999999999993E-3</v>
      </c>
      <c r="F32" s="2">
        <f t="shared" si="3"/>
        <v>-6.3000000000000003E-4</v>
      </c>
      <c r="H32" s="2">
        <v>0.01</v>
      </c>
      <c r="I32" s="2">
        <v>1.4999999999999999E-2</v>
      </c>
      <c r="J32" s="2">
        <v>1.4999999999999999E-2</v>
      </c>
      <c r="K32" s="2">
        <v>-4.1000000000000002E-2</v>
      </c>
      <c r="L32" s="2">
        <v>-2E-3</v>
      </c>
      <c r="M32" s="2">
        <v>2E-3</v>
      </c>
      <c r="N32" s="2">
        <v>-2.3E-2</v>
      </c>
      <c r="O32" s="2">
        <v>0.01</v>
      </c>
      <c r="P32" s="2">
        <v>-1.7999999999999999E-2</v>
      </c>
      <c r="Q32" s="2">
        <v>4.0000000000000001E-3</v>
      </c>
      <c r="R32" s="2">
        <v>1.2999999999999999E-2</v>
      </c>
      <c r="S32" s="2">
        <v>-4.0000000000000001E-3</v>
      </c>
      <c r="T32" s="2">
        <v>2E-3</v>
      </c>
      <c r="U32" s="2">
        <v>6.0000000000000001E-3</v>
      </c>
      <c r="V32" s="2">
        <v>-2E-3</v>
      </c>
      <c r="W32" s="2">
        <v>3.0000000000000001E-3</v>
      </c>
    </row>
    <row r="33" spans="1:23" x14ac:dyDescent="0.35">
      <c r="A33">
        <v>10</v>
      </c>
      <c r="B33">
        <v>8.8999999999999996E-2</v>
      </c>
      <c r="D33">
        <v>-5.8999999999999997E-2</v>
      </c>
      <c r="F33" s="2">
        <f t="shared" si="3"/>
        <v>-5.2509999999999996E-3</v>
      </c>
      <c r="H33" s="2">
        <v>-0.01</v>
      </c>
      <c r="I33" s="2">
        <v>0.01</v>
      </c>
      <c r="J33" s="2">
        <v>6.0000000000000001E-3</v>
      </c>
      <c r="K33" s="2">
        <v>-4.9000000000000002E-2</v>
      </c>
      <c r="L33" s="2">
        <v>-3.4000000000000002E-2</v>
      </c>
      <c r="M33" s="2">
        <v>0.02</v>
      </c>
      <c r="N33" s="2">
        <v>-5.0000000000000001E-3</v>
      </c>
      <c r="O33" s="2">
        <v>-7.0000000000000001E-3</v>
      </c>
      <c r="P33" s="2">
        <v>3.0000000000000001E-3</v>
      </c>
      <c r="Q33" s="2">
        <v>-2.1000000000000001E-2</v>
      </c>
      <c r="R33" s="2">
        <v>-4.0000000000000001E-3</v>
      </c>
      <c r="S33" s="2">
        <v>7.0000000000000001E-3</v>
      </c>
      <c r="T33" s="2">
        <v>8.9999999999999993E-3</v>
      </c>
      <c r="U33" s="2">
        <v>4.0000000000000001E-3</v>
      </c>
      <c r="V33" s="2">
        <v>8.0000000000000002E-3</v>
      </c>
      <c r="W33" s="2">
        <v>6.0000000000000001E-3</v>
      </c>
    </row>
    <row r="35" spans="1:23" x14ac:dyDescent="0.35">
      <c r="B35" s="2">
        <f>SUM(B24:B33)</f>
        <v>0.99500000000000011</v>
      </c>
      <c r="F35" s="2">
        <f>SUM(F24:F33)</f>
        <v>-8.2485000000000017E-2</v>
      </c>
      <c r="H35">
        <f t="shared" ref="H35:H44" si="4">$B24/$B$35</f>
        <v>0.13266331658291455</v>
      </c>
      <c r="I35">
        <f t="shared" ref="I35:W44" si="5">$B24/$B$35</f>
        <v>0.13266331658291455</v>
      </c>
      <c r="J35">
        <f t="shared" si="5"/>
        <v>0.13266331658291455</v>
      </c>
      <c r="K35">
        <f t="shared" si="5"/>
        <v>0.13266331658291455</v>
      </c>
      <c r="L35">
        <f t="shared" si="5"/>
        <v>0.13266331658291455</v>
      </c>
      <c r="M35">
        <f t="shared" si="5"/>
        <v>0.13266331658291455</v>
      </c>
      <c r="N35">
        <f t="shared" si="5"/>
        <v>0.13266331658291455</v>
      </c>
      <c r="O35">
        <f t="shared" si="5"/>
        <v>0.13266331658291455</v>
      </c>
      <c r="P35">
        <f t="shared" si="5"/>
        <v>0.13266331658291455</v>
      </c>
      <c r="Q35">
        <f t="shared" si="5"/>
        <v>0.13266331658291455</v>
      </c>
      <c r="R35">
        <f t="shared" si="5"/>
        <v>0.13266331658291455</v>
      </c>
      <c r="S35">
        <f t="shared" si="5"/>
        <v>0.13266331658291455</v>
      </c>
      <c r="T35">
        <f t="shared" si="5"/>
        <v>0.13266331658291455</v>
      </c>
      <c r="U35">
        <f t="shared" si="5"/>
        <v>0.13266331658291455</v>
      </c>
      <c r="V35">
        <f t="shared" si="5"/>
        <v>0.13266331658291455</v>
      </c>
      <c r="W35">
        <f t="shared" si="5"/>
        <v>0.13266331658291455</v>
      </c>
    </row>
    <row r="36" spans="1:23" x14ac:dyDescent="0.35">
      <c r="H36">
        <f t="shared" si="4"/>
        <v>8.2412060301507536E-2</v>
      </c>
      <c r="I36">
        <f t="shared" si="5"/>
        <v>8.2412060301507536E-2</v>
      </c>
      <c r="J36">
        <f t="shared" si="5"/>
        <v>8.2412060301507536E-2</v>
      </c>
      <c r="K36">
        <f t="shared" si="5"/>
        <v>8.2412060301507536E-2</v>
      </c>
      <c r="L36">
        <f t="shared" si="5"/>
        <v>8.2412060301507536E-2</v>
      </c>
      <c r="M36">
        <f t="shared" si="5"/>
        <v>8.2412060301507536E-2</v>
      </c>
      <c r="N36">
        <f t="shared" si="5"/>
        <v>8.2412060301507536E-2</v>
      </c>
      <c r="O36">
        <f t="shared" si="5"/>
        <v>8.2412060301507536E-2</v>
      </c>
      <c r="P36">
        <f t="shared" si="5"/>
        <v>8.2412060301507536E-2</v>
      </c>
      <c r="Q36">
        <f t="shared" si="5"/>
        <v>8.2412060301507536E-2</v>
      </c>
      <c r="R36">
        <f t="shared" si="5"/>
        <v>8.2412060301507536E-2</v>
      </c>
      <c r="S36">
        <f t="shared" si="5"/>
        <v>8.2412060301507536E-2</v>
      </c>
      <c r="T36">
        <f t="shared" si="5"/>
        <v>8.2412060301507536E-2</v>
      </c>
      <c r="U36">
        <f t="shared" si="5"/>
        <v>8.2412060301507536E-2</v>
      </c>
      <c r="V36">
        <f t="shared" si="5"/>
        <v>8.2412060301507536E-2</v>
      </c>
      <c r="W36">
        <f t="shared" si="5"/>
        <v>8.2412060301507536E-2</v>
      </c>
    </row>
    <row r="37" spans="1:23" x14ac:dyDescent="0.35">
      <c r="H37">
        <f t="shared" si="4"/>
        <v>0.13969849246231156</v>
      </c>
      <c r="I37">
        <f t="shared" si="5"/>
        <v>0.13969849246231156</v>
      </c>
      <c r="J37">
        <f t="shared" si="5"/>
        <v>0.13969849246231156</v>
      </c>
      <c r="K37">
        <f t="shared" si="5"/>
        <v>0.13969849246231156</v>
      </c>
      <c r="L37">
        <f t="shared" si="5"/>
        <v>0.13969849246231156</v>
      </c>
      <c r="M37">
        <f t="shared" si="5"/>
        <v>0.13969849246231156</v>
      </c>
      <c r="N37">
        <f t="shared" si="5"/>
        <v>0.13969849246231156</v>
      </c>
      <c r="O37">
        <f t="shared" si="5"/>
        <v>0.13969849246231156</v>
      </c>
      <c r="P37">
        <f t="shared" si="5"/>
        <v>0.13969849246231156</v>
      </c>
      <c r="Q37">
        <f t="shared" si="5"/>
        <v>0.13969849246231156</v>
      </c>
      <c r="R37">
        <f t="shared" si="5"/>
        <v>0.13969849246231156</v>
      </c>
      <c r="S37">
        <f t="shared" si="5"/>
        <v>0.13969849246231156</v>
      </c>
      <c r="T37">
        <f t="shared" si="5"/>
        <v>0.13969849246231156</v>
      </c>
      <c r="U37">
        <f t="shared" si="5"/>
        <v>0.13969849246231156</v>
      </c>
      <c r="V37">
        <f t="shared" si="5"/>
        <v>0.13969849246231156</v>
      </c>
      <c r="W37">
        <f t="shared" si="5"/>
        <v>0.13969849246231156</v>
      </c>
    </row>
    <row r="38" spans="1:23" x14ac:dyDescent="0.35">
      <c r="H38">
        <f t="shared" si="4"/>
        <v>7.1356783919597974E-2</v>
      </c>
      <c r="I38">
        <f t="shared" si="5"/>
        <v>7.1356783919597974E-2</v>
      </c>
      <c r="J38">
        <f t="shared" si="5"/>
        <v>7.1356783919597974E-2</v>
      </c>
      <c r="K38">
        <f t="shared" si="5"/>
        <v>7.1356783919597974E-2</v>
      </c>
      <c r="L38">
        <f t="shared" si="5"/>
        <v>7.1356783919597974E-2</v>
      </c>
      <c r="M38">
        <f t="shared" si="5"/>
        <v>7.1356783919597974E-2</v>
      </c>
      <c r="N38">
        <f t="shared" si="5"/>
        <v>7.1356783919597974E-2</v>
      </c>
      <c r="O38">
        <f t="shared" si="5"/>
        <v>7.1356783919597974E-2</v>
      </c>
      <c r="P38">
        <f t="shared" si="5"/>
        <v>7.1356783919597974E-2</v>
      </c>
      <c r="Q38">
        <f t="shared" si="5"/>
        <v>7.1356783919597974E-2</v>
      </c>
      <c r="R38">
        <f t="shared" si="5"/>
        <v>7.1356783919597974E-2</v>
      </c>
      <c r="S38">
        <f t="shared" si="5"/>
        <v>7.1356783919597974E-2</v>
      </c>
      <c r="T38">
        <f t="shared" si="5"/>
        <v>7.1356783919597974E-2</v>
      </c>
      <c r="U38">
        <f t="shared" si="5"/>
        <v>7.1356783919597974E-2</v>
      </c>
      <c r="V38">
        <f t="shared" si="5"/>
        <v>7.1356783919597974E-2</v>
      </c>
      <c r="W38">
        <f t="shared" si="5"/>
        <v>7.1356783919597974E-2</v>
      </c>
    </row>
    <row r="39" spans="1:23" x14ac:dyDescent="0.35">
      <c r="H39">
        <f t="shared" si="4"/>
        <v>7.5376884422110546E-2</v>
      </c>
      <c r="I39">
        <f t="shared" si="5"/>
        <v>7.5376884422110546E-2</v>
      </c>
      <c r="J39">
        <f t="shared" si="5"/>
        <v>7.5376884422110546E-2</v>
      </c>
      <c r="K39">
        <f t="shared" si="5"/>
        <v>7.5376884422110546E-2</v>
      </c>
      <c r="L39">
        <f t="shared" si="5"/>
        <v>7.5376884422110546E-2</v>
      </c>
      <c r="M39">
        <f t="shared" si="5"/>
        <v>7.5376884422110546E-2</v>
      </c>
      <c r="N39">
        <f t="shared" si="5"/>
        <v>7.5376884422110546E-2</v>
      </c>
      <c r="O39">
        <f t="shared" si="5"/>
        <v>7.5376884422110546E-2</v>
      </c>
      <c r="P39">
        <f t="shared" si="5"/>
        <v>7.5376884422110546E-2</v>
      </c>
      <c r="Q39">
        <f t="shared" si="5"/>
        <v>7.5376884422110546E-2</v>
      </c>
      <c r="R39">
        <f t="shared" si="5"/>
        <v>7.5376884422110546E-2</v>
      </c>
      <c r="S39">
        <f t="shared" si="5"/>
        <v>7.5376884422110546E-2</v>
      </c>
      <c r="T39">
        <f t="shared" si="5"/>
        <v>7.5376884422110546E-2</v>
      </c>
      <c r="U39">
        <f t="shared" si="5"/>
        <v>7.5376884422110546E-2</v>
      </c>
      <c r="V39">
        <f t="shared" si="5"/>
        <v>7.5376884422110546E-2</v>
      </c>
      <c r="W39">
        <f t="shared" si="5"/>
        <v>7.5376884422110546E-2</v>
      </c>
    </row>
    <row r="40" spans="1:23" x14ac:dyDescent="0.35">
      <c r="H40">
        <f t="shared" si="4"/>
        <v>0.11658291457286432</v>
      </c>
      <c r="I40">
        <f t="shared" si="5"/>
        <v>0.11658291457286432</v>
      </c>
      <c r="J40">
        <f t="shared" si="5"/>
        <v>0.11658291457286432</v>
      </c>
      <c r="K40">
        <f t="shared" si="5"/>
        <v>0.11658291457286432</v>
      </c>
      <c r="L40">
        <f t="shared" si="5"/>
        <v>0.11658291457286432</v>
      </c>
      <c r="M40">
        <f t="shared" si="5"/>
        <v>0.11658291457286432</v>
      </c>
      <c r="N40">
        <f t="shared" si="5"/>
        <v>0.11658291457286432</v>
      </c>
      <c r="O40">
        <f t="shared" si="5"/>
        <v>0.11658291457286432</v>
      </c>
      <c r="P40">
        <f t="shared" si="5"/>
        <v>0.11658291457286432</v>
      </c>
      <c r="Q40">
        <f t="shared" si="5"/>
        <v>0.11658291457286432</v>
      </c>
      <c r="R40">
        <f t="shared" si="5"/>
        <v>0.11658291457286432</v>
      </c>
      <c r="S40">
        <f t="shared" si="5"/>
        <v>0.11658291457286432</v>
      </c>
      <c r="T40">
        <f t="shared" si="5"/>
        <v>0.11658291457286432</v>
      </c>
      <c r="U40">
        <f t="shared" si="5"/>
        <v>0.11658291457286432</v>
      </c>
      <c r="V40">
        <f t="shared" si="5"/>
        <v>0.11658291457286432</v>
      </c>
      <c r="W40">
        <f t="shared" si="5"/>
        <v>0.11658291457286432</v>
      </c>
    </row>
    <row r="41" spans="1:23" x14ac:dyDescent="0.35">
      <c r="H41">
        <f t="shared" si="4"/>
        <v>0.14572864321608037</v>
      </c>
      <c r="I41">
        <f t="shared" si="5"/>
        <v>0.14572864321608037</v>
      </c>
      <c r="J41">
        <f t="shared" si="5"/>
        <v>0.14572864321608037</v>
      </c>
      <c r="K41">
        <f t="shared" si="5"/>
        <v>0.14572864321608037</v>
      </c>
      <c r="L41">
        <f t="shared" si="5"/>
        <v>0.14572864321608037</v>
      </c>
      <c r="M41">
        <f t="shared" si="5"/>
        <v>0.14572864321608037</v>
      </c>
      <c r="N41">
        <f t="shared" si="5"/>
        <v>0.14572864321608037</v>
      </c>
      <c r="O41">
        <f t="shared" si="5"/>
        <v>0.14572864321608037</v>
      </c>
      <c r="P41">
        <f t="shared" si="5"/>
        <v>0.14572864321608037</v>
      </c>
      <c r="Q41">
        <f t="shared" si="5"/>
        <v>0.14572864321608037</v>
      </c>
      <c r="R41">
        <f t="shared" si="5"/>
        <v>0.14572864321608037</v>
      </c>
      <c r="S41">
        <f t="shared" si="5"/>
        <v>0.14572864321608037</v>
      </c>
      <c r="T41">
        <f t="shared" si="5"/>
        <v>0.14572864321608037</v>
      </c>
      <c r="U41">
        <f t="shared" si="5"/>
        <v>0.14572864321608037</v>
      </c>
      <c r="V41">
        <f t="shared" si="5"/>
        <v>0.14572864321608037</v>
      </c>
      <c r="W41">
        <f t="shared" si="5"/>
        <v>0.14572864321608037</v>
      </c>
    </row>
    <row r="42" spans="1:23" x14ac:dyDescent="0.35">
      <c r="H42">
        <f t="shared" si="4"/>
        <v>7.6381909547738686E-2</v>
      </c>
      <c r="I42">
        <f t="shared" si="5"/>
        <v>7.6381909547738686E-2</v>
      </c>
      <c r="J42">
        <f t="shared" si="5"/>
        <v>7.6381909547738686E-2</v>
      </c>
      <c r="K42">
        <f t="shared" si="5"/>
        <v>7.6381909547738686E-2</v>
      </c>
      <c r="L42">
        <f t="shared" si="5"/>
        <v>7.6381909547738686E-2</v>
      </c>
      <c r="M42">
        <f t="shared" si="5"/>
        <v>7.6381909547738686E-2</v>
      </c>
      <c r="N42">
        <f t="shared" si="5"/>
        <v>7.6381909547738686E-2</v>
      </c>
      <c r="O42">
        <f t="shared" si="5"/>
        <v>7.6381909547738686E-2</v>
      </c>
      <c r="P42">
        <f t="shared" si="5"/>
        <v>7.6381909547738686E-2</v>
      </c>
      <c r="Q42">
        <f t="shared" si="5"/>
        <v>7.6381909547738686E-2</v>
      </c>
      <c r="R42">
        <f t="shared" si="5"/>
        <v>7.6381909547738686E-2</v>
      </c>
      <c r="S42">
        <f t="shared" si="5"/>
        <v>7.6381909547738686E-2</v>
      </c>
      <c r="T42">
        <f t="shared" si="5"/>
        <v>7.6381909547738686E-2</v>
      </c>
      <c r="U42">
        <f t="shared" si="5"/>
        <v>7.6381909547738686E-2</v>
      </c>
      <c r="V42">
        <f t="shared" si="5"/>
        <v>7.6381909547738686E-2</v>
      </c>
      <c r="W42">
        <f t="shared" si="5"/>
        <v>7.6381909547738686E-2</v>
      </c>
    </row>
    <row r="43" spans="1:23" x14ac:dyDescent="0.35">
      <c r="H43">
        <f t="shared" si="4"/>
        <v>7.0351758793969849E-2</v>
      </c>
      <c r="I43">
        <f t="shared" si="5"/>
        <v>7.0351758793969849E-2</v>
      </c>
      <c r="J43">
        <f t="shared" si="5"/>
        <v>7.0351758793969849E-2</v>
      </c>
      <c r="K43">
        <f t="shared" si="5"/>
        <v>7.0351758793969849E-2</v>
      </c>
      <c r="L43">
        <f t="shared" si="5"/>
        <v>7.0351758793969849E-2</v>
      </c>
      <c r="M43">
        <f t="shared" si="5"/>
        <v>7.0351758793969849E-2</v>
      </c>
      <c r="N43">
        <f t="shared" si="5"/>
        <v>7.0351758793969849E-2</v>
      </c>
      <c r="O43">
        <f t="shared" si="5"/>
        <v>7.0351758793969849E-2</v>
      </c>
      <c r="P43">
        <f t="shared" si="5"/>
        <v>7.0351758793969849E-2</v>
      </c>
      <c r="Q43">
        <f t="shared" si="5"/>
        <v>7.0351758793969849E-2</v>
      </c>
      <c r="R43">
        <f t="shared" si="5"/>
        <v>7.0351758793969849E-2</v>
      </c>
      <c r="S43">
        <f t="shared" si="5"/>
        <v>7.0351758793969849E-2</v>
      </c>
      <c r="T43">
        <f t="shared" si="5"/>
        <v>7.0351758793969849E-2</v>
      </c>
      <c r="U43">
        <f t="shared" si="5"/>
        <v>7.0351758793969849E-2</v>
      </c>
      <c r="V43">
        <f t="shared" si="5"/>
        <v>7.0351758793969849E-2</v>
      </c>
      <c r="W43">
        <f t="shared" si="5"/>
        <v>7.0351758793969849E-2</v>
      </c>
    </row>
    <row r="44" spans="1:23" x14ac:dyDescent="0.35">
      <c r="H44">
        <f t="shared" si="4"/>
        <v>8.9447236180904513E-2</v>
      </c>
      <c r="I44">
        <f t="shared" si="5"/>
        <v>8.9447236180904513E-2</v>
      </c>
      <c r="J44">
        <f t="shared" si="5"/>
        <v>8.9447236180904513E-2</v>
      </c>
      <c r="K44">
        <f t="shared" si="5"/>
        <v>8.9447236180904513E-2</v>
      </c>
      <c r="L44">
        <f t="shared" si="5"/>
        <v>8.9447236180904513E-2</v>
      </c>
      <c r="M44">
        <f t="shared" si="5"/>
        <v>8.9447236180904513E-2</v>
      </c>
      <c r="N44">
        <f t="shared" si="5"/>
        <v>8.9447236180904513E-2</v>
      </c>
      <c r="O44">
        <f t="shared" si="5"/>
        <v>8.9447236180904513E-2</v>
      </c>
      <c r="P44">
        <f t="shared" si="5"/>
        <v>8.9447236180904513E-2</v>
      </c>
      <c r="Q44">
        <f t="shared" si="5"/>
        <v>8.9447236180904513E-2</v>
      </c>
      <c r="R44">
        <f t="shared" si="5"/>
        <v>8.9447236180904513E-2</v>
      </c>
      <c r="S44">
        <f t="shared" si="5"/>
        <v>8.9447236180904513E-2</v>
      </c>
      <c r="T44">
        <f t="shared" si="5"/>
        <v>8.9447236180904513E-2</v>
      </c>
      <c r="U44">
        <f t="shared" si="5"/>
        <v>8.9447236180904513E-2</v>
      </c>
      <c r="V44">
        <f t="shared" si="5"/>
        <v>8.9447236180904513E-2</v>
      </c>
      <c r="W44">
        <f t="shared" si="5"/>
        <v>8.9447236180904513E-2</v>
      </c>
    </row>
    <row r="46" spans="1:23" x14ac:dyDescent="0.35">
      <c r="H46" s="2">
        <f>H24*H35</f>
        <v>1.5919597989949748E-3</v>
      </c>
      <c r="I46" s="2">
        <f t="shared" ref="I46:W46" si="6">I24*I35</f>
        <v>2.2552763819095475E-3</v>
      </c>
      <c r="J46" s="2">
        <f t="shared" si="6"/>
        <v>-4.6432160804020101E-3</v>
      </c>
      <c r="K46" s="2">
        <f t="shared" si="6"/>
        <v>-5.4391959798994966E-3</v>
      </c>
      <c r="L46" s="2">
        <f t="shared" si="6"/>
        <v>-3.1839195979899496E-3</v>
      </c>
      <c r="M46" s="2">
        <f t="shared" si="6"/>
        <v>3.4492462311557781E-3</v>
      </c>
      <c r="N46" s="2">
        <f t="shared" si="6"/>
        <v>-1.5919597989949748E-3</v>
      </c>
      <c r="O46" s="2">
        <f t="shared" si="6"/>
        <v>-1.0613065326633164E-3</v>
      </c>
      <c r="P46" s="2">
        <f t="shared" si="6"/>
        <v>1.8572864321608038E-3</v>
      </c>
      <c r="Q46" s="2">
        <f t="shared" si="6"/>
        <v>-2.2552763819095475E-3</v>
      </c>
      <c r="R46" s="2">
        <f t="shared" si="6"/>
        <v>2.6532663316582909E-4</v>
      </c>
      <c r="S46" s="2">
        <f t="shared" si="6"/>
        <v>-1.3266331658291455E-4</v>
      </c>
      <c r="T46" s="2">
        <f t="shared" si="6"/>
        <v>-1.1939698492462309E-3</v>
      </c>
      <c r="U46" s="2">
        <f t="shared" si="6"/>
        <v>-2.7859296482412059E-3</v>
      </c>
      <c r="V46" s="2">
        <f t="shared" si="6"/>
        <v>3.9798994974874369E-4</v>
      </c>
      <c r="W46" s="2">
        <f t="shared" si="6"/>
        <v>-1.7246231155778891E-3</v>
      </c>
    </row>
    <row r="47" spans="1:23" x14ac:dyDescent="0.35">
      <c r="H47" s="2">
        <f t="shared" ref="H47:H55" si="7">H25*H36</f>
        <v>-1.1537688442211055E-3</v>
      </c>
      <c r="I47" s="2">
        <f t="shared" ref="I47:W47" si="8">I25*I36</f>
        <v>3.9557788944723617E-3</v>
      </c>
      <c r="J47" s="2">
        <f t="shared" si="8"/>
        <v>-1.6482412060301509E-4</v>
      </c>
      <c r="K47" s="2">
        <f t="shared" si="8"/>
        <v>-5.5216080402010056E-3</v>
      </c>
      <c r="L47" s="2">
        <f t="shared" si="8"/>
        <v>-2.0603015075376886E-3</v>
      </c>
      <c r="M47" s="2">
        <f t="shared" si="8"/>
        <v>6.5929648241206036E-4</v>
      </c>
      <c r="N47" s="2">
        <f t="shared" si="8"/>
        <v>-1.3185929648241207E-3</v>
      </c>
      <c r="O47" s="2">
        <f t="shared" si="8"/>
        <v>-2.4723618090452261E-4</v>
      </c>
      <c r="P47" s="2">
        <f t="shared" si="8"/>
        <v>-4.120603015075377E-4</v>
      </c>
      <c r="Q47" s="2">
        <f t="shared" si="8"/>
        <v>-1.4834170854271355E-3</v>
      </c>
      <c r="R47" s="2">
        <f t="shared" si="8"/>
        <v>-2.1427135678391959E-3</v>
      </c>
      <c r="S47" s="2">
        <f t="shared" si="8"/>
        <v>-1.6482412060301509E-4</v>
      </c>
      <c r="T47" s="2">
        <f t="shared" si="8"/>
        <v>1.6482412060301509E-4</v>
      </c>
      <c r="U47" s="2">
        <f t="shared" si="8"/>
        <v>5.7688442211055273E-4</v>
      </c>
      <c r="V47" s="2">
        <f t="shared" si="8"/>
        <v>-1.236180904522613E-3</v>
      </c>
      <c r="W47" s="2">
        <f t="shared" si="8"/>
        <v>-2.1427135678391959E-3</v>
      </c>
    </row>
    <row r="48" spans="1:23" x14ac:dyDescent="0.35">
      <c r="H48" s="2">
        <f t="shared" si="7"/>
        <v>-2.2351758793969848E-3</v>
      </c>
      <c r="I48" s="2">
        <f t="shared" ref="I48:W48" si="9">I26*I37</f>
        <v>6.9849246231155784E-4</v>
      </c>
      <c r="J48" s="2">
        <f t="shared" si="9"/>
        <v>2.3748743718592967E-3</v>
      </c>
      <c r="K48" s="2">
        <f t="shared" si="9"/>
        <v>-1.8160804020100501E-3</v>
      </c>
      <c r="L48" s="2">
        <f t="shared" si="9"/>
        <v>-2.3748743718592967E-3</v>
      </c>
      <c r="M48" s="2">
        <f t="shared" si="9"/>
        <v>9.7788944723618083E-4</v>
      </c>
      <c r="N48" s="2">
        <f t="shared" si="9"/>
        <v>-1.8160804020100501E-3</v>
      </c>
      <c r="O48" s="2">
        <f t="shared" si="9"/>
        <v>-8.3819095477386939E-4</v>
      </c>
      <c r="P48" s="2">
        <f t="shared" si="9"/>
        <v>-1.1175879396984924E-3</v>
      </c>
      <c r="Q48" s="2">
        <f t="shared" si="9"/>
        <v>-1.9557788944723617E-3</v>
      </c>
      <c r="R48" s="2">
        <f t="shared" si="9"/>
        <v>0</v>
      </c>
      <c r="S48" s="2">
        <f t="shared" si="9"/>
        <v>-4.190954773869347E-4</v>
      </c>
      <c r="T48" s="2">
        <f t="shared" si="9"/>
        <v>5.5879396984924619E-4</v>
      </c>
      <c r="U48" s="2">
        <f t="shared" si="9"/>
        <v>-5.5879396984924619E-4</v>
      </c>
      <c r="V48" s="2">
        <f t="shared" si="9"/>
        <v>4.190954773869347E-4</v>
      </c>
      <c r="W48" s="2">
        <f t="shared" si="9"/>
        <v>-3.9115577889447233E-3</v>
      </c>
    </row>
    <row r="49" spans="2:25" x14ac:dyDescent="0.35">
      <c r="H49" s="2">
        <f t="shared" si="7"/>
        <v>1.0703517587939695E-3</v>
      </c>
      <c r="I49" s="2">
        <f t="shared" ref="I49:W49" si="10">I27*I38</f>
        <v>3.5678391959798988E-4</v>
      </c>
      <c r="J49" s="2">
        <f t="shared" si="10"/>
        <v>4.9949748743718578E-4</v>
      </c>
      <c r="K49" s="2">
        <f t="shared" si="10"/>
        <v>-9.9899497487437156E-4</v>
      </c>
      <c r="L49" s="2">
        <f t="shared" si="10"/>
        <v>-1.2844221105527635E-3</v>
      </c>
      <c r="M49" s="2">
        <f t="shared" si="10"/>
        <v>4.9949748743718578E-4</v>
      </c>
      <c r="N49" s="2">
        <f t="shared" si="10"/>
        <v>-1.2130653266331655E-3</v>
      </c>
      <c r="O49" s="2">
        <f t="shared" si="10"/>
        <v>-2.1407035175879393E-4</v>
      </c>
      <c r="P49" s="2">
        <f t="shared" si="10"/>
        <v>-3.5678391959798988E-4</v>
      </c>
      <c r="Q49" s="2">
        <f t="shared" si="10"/>
        <v>-5.7085427135678381E-4</v>
      </c>
      <c r="R49" s="2">
        <f t="shared" si="10"/>
        <v>-7.1356783919597976E-5</v>
      </c>
      <c r="S49" s="2">
        <f t="shared" si="10"/>
        <v>-3.5678391959798988E-4</v>
      </c>
      <c r="T49" s="2">
        <f t="shared" si="10"/>
        <v>4.2814070351758786E-4</v>
      </c>
      <c r="U49" s="2">
        <f t="shared" si="10"/>
        <v>-7.1356783919597976E-4</v>
      </c>
      <c r="V49" s="2">
        <f t="shared" si="10"/>
        <v>2.8542713567839191E-4</v>
      </c>
      <c r="W49" s="2">
        <f t="shared" si="10"/>
        <v>-5.7085427135678381E-4</v>
      </c>
    </row>
    <row r="50" spans="2:25" x14ac:dyDescent="0.35">
      <c r="H50" s="2">
        <f t="shared" si="7"/>
        <v>-8.2914572864321596E-4</v>
      </c>
      <c r="I50" s="2">
        <f t="shared" ref="I50:W50" si="11">I28*I39</f>
        <v>-1.2814070351758794E-3</v>
      </c>
      <c r="J50" s="2">
        <f t="shared" si="11"/>
        <v>7.537688442211055E-4</v>
      </c>
      <c r="K50" s="2">
        <f t="shared" si="11"/>
        <v>-5.8793969849246222E-3</v>
      </c>
      <c r="L50" s="2">
        <f t="shared" si="11"/>
        <v>-5.2763819095477378E-4</v>
      </c>
      <c r="M50" s="2">
        <f t="shared" si="11"/>
        <v>-1.2060301507537687E-3</v>
      </c>
      <c r="N50" s="2">
        <f t="shared" si="11"/>
        <v>-1.5075376884422109E-4</v>
      </c>
      <c r="O50" s="2">
        <f t="shared" si="11"/>
        <v>-1.2060301507537687E-3</v>
      </c>
      <c r="P50" s="2">
        <f t="shared" si="11"/>
        <v>1.5075376884422109E-4</v>
      </c>
      <c r="Q50" s="2">
        <f t="shared" si="11"/>
        <v>-1.1306532663316582E-3</v>
      </c>
      <c r="R50" s="2">
        <f t="shared" si="11"/>
        <v>-4.5226130653266326E-4</v>
      </c>
      <c r="S50" s="2">
        <f t="shared" si="11"/>
        <v>6.0301507537688435E-4</v>
      </c>
      <c r="T50" s="2">
        <f t="shared" si="11"/>
        <v>1.0552763819095476E-3</v>
      </c>
      <c r="U50" s="2">
        <f t="shared" si="11"/>
        <v>-2.2613065326633165E-3</v>
      </c>
      <c r="V50" s="2">
        <f t="shared" si="11"/>
        <v>-2.2613065326633163E-4</v>
      </c>
      <c r="W50" s="2">
        <f t="shared" si="11"/>
        <v>-1.6582914572864319E-3</v>
      </c>
    </row>
    <row r="51" spans="2:25" x14ac:dyDescent="0.35">
      <c r="H51" s="2">
        <f t="shared" si="7"/>
        <v>3.8472361809045227E-3</v>
      </c>
      <c r="I51" s="2">
        <f t="shared" ref="I51:W51" si="12">I29*I40</f>
        <v>-1.1658291457286433E-3</v>
      </c>
      <c r="J51" s="2">
        <f t="shared" si="12"/>
        <v>3.8472361809045227E-3</v>
      </c>
      <c r="K51" s="2">
        <f t="shared" si="12"/>
        <v>-8.1608040201005031E-4</v>
      </c>
      <c r="L51" s="2">
        <f t="shared" si="12"/>
        <v>-4.5467336683417082E-3</v>
      </c>
      <c r="M51" s="2">
        <f t="shared" si="12"/>
        <v>4.6633165829145732E-4</v>
      </c>
      <c r="N51" s="2">
        <f t="shared" si="12"/>
        <v>-1.8653266331658293E-3</v>
      </c>
      <c r="O51" s="2">
        <f t="shared" si="12"/>
        <v>-2.2150753768844221E-3</v>
      </c>
      <c r="P51" s="2">
        <f t="shared" si="12"/>
        <v>-1.5155778894472361E-3</v>
      </c>
      <c r="Q51" s="2">
        <f t="shared" si="12"/>
        <v>-1.1658291457286433E-4</v>
      </c>
      <c r="R51" s="2">
        <f t="shared" si="12"/>
        <v>0</v>
      </c>
      <c r="S51" s="2">
        <f t="shared" si="12"/>
        <v>1.1658291457286433E-3</v>
      </c>
      <c r="T51" s="2">
        <f t="shared" si="12"/>
        <v>-8.1608040201005031E-4</v>
      </c>
      <c r="U51" s="2">
        <f t="shared" si="12"/>
        <v>-6.9949748743718598E-4</v>
      </c>
      <c r="V51" s="2">
        <f t="shared" si="12"/>
        <v>1.6321608040201006E-3</v>
      </c>
      <c r="W51" s="2">
        <f t="shared" si="12"/>
        <v>-4.7798994974874373E-3</v>
      </c>
    </row>
    <row r="52" spans="2:25" x14ac:dyDescent="0.35">
      <c r="H52" s="2">
        <f t="shared" si="7"/>
        <v>-1.4572864321608038E-3</v>
      </c>
      <c r="I52" s="2">
        <f t="shared" ref="I52:W52" si="13">I30*I41</f>
        <v>1.1658291457286429E-3</v>
      </c>
      <c r="J52" s="2">
        <f t="shared" si="13"/>
        <v>-7.286432160804019E-4</v>
      </c>
      <c r="K52" s="2">
        <f t="shared" si="13"/>
        <v>-2.1859296482412056E-3</v>
      </c>
      <c r="L52" s="2">
        <f t="shared" si="13"/>
        <v>-1.4572864321608038E-3</v>
      </c>
      <c r="M52" s="2">
        <f t="shared" si="13"/>
        <v>-1.1658291457286429E-3</v>
      </c>
      <c r="N52" s="2">
        <f t="shared" si="13"/>
        <v>-1.0201005025125625E-3</v>
      </c>
      <c r="O52" s="2">
        <f t="shared" si="13"/>
        <v>1.4572864321608036E-4</v>
      </c>
      <c r="P52" s="2">
        <f t="shared" si="13"/>
        <v>-5.8291457286432143E-4</v>
      </c>
      <c r="Q52" s="2">
        <f t="shared" si="13"/>
        <v>0</v>
      </c>
      <c r="R52" s="2">
        <f t="shared" si="13"/>
        <v>-2.9145728643216072E-4</v>
      </c>
      <c r="S52" s="2">
        <f t="shared" si="13"/>
        <v>4.3718592964824113E-4</v>
      </c>
      <c r="T52" s="2">
        <f t="shared" si="13"/>
        <v>0</v>
      </c>
      <c r="U52" s="2">
        <f t="shared" si="13"/>
        <v>-7.286432160804019E-4</v>
      </c>
      <c r="V52" s="2">
        <f t="shared" si="13"/>
        <v>-1.4572864321608036E-4</v>
      </c>
      <c r="W52" s="2">
        <f t="shared" si="13"/>
        <v>-7.286432160804019E-4</v>
      </c>
    </row>
    <row r="53" spans="2:25" x14ac:dyDescent="0.35">
      <c r="H53" s="2">
        <f t="shared" si="7"/>
        <v>3.8190954773869342E-4</v>
      </c>
      <c r="I53" s="2">
        <f t="shared" ref="I53:W53" si="14">I31*I42</f>
        <v>-1.5276381909547737E-3</v>
      </c>
      <c r="J53" s="2">
        <f t="shared" si="14"/>
        <v>2.8261306532663313E-3</v>
      </c>
      <c r="K53" s="2">
        <f t="shared" si="14"/>
        <v>-4.7356783919597981E-3</v>
      </c>
      <c r="L53" s="2">
        <f t="shared" si="14"/>
        <v>-9.1658291457286426E-4</v>
      </c>
      <c r="M53" s="2">
        <f t="shared" si="14"/>
        <v>9.1658291457286426E-4</v>
      </c>
      <c r="N53" s="2">
        <f t="shared" si="14"/>
        <v>-2.4442211055276382E-3</v>
      </c>
      <c r="O53" s="2">
        <f t="shared" si="14"/>
        <v>-7.6381909547738693E-5</v>
      </c>
      <c r="P53" s="2">
        <f t="shared" si="14"/>
        <v>1.8331658291457285E-3</v>
      </c>
      <c r="Q53" s="2">
        <f t="shared" si="14"/>
        <v>-1.6804020100502509E-3</v>
      </c>
      <c r="R53" s="2">
        <f t="shared" si="14"/>
        <v>7.6381909547738693E-5</v>
      </c>
      <c r="S53" s="2">
        <f t="shared" si="14"/>
        <v>4.5829145728643213E-4</v>
      </c>
      <c r="T53" s="2">
        <f t="shared" si="14"/>
        <v>5.3467336683417084E-4</v>
      </c>
      <c r="U53" s="2">
        <f t="shared" si="14"/>
        <v>4.5829145728643213E-4</v>
      </c>
      <c r="V53" s="2">
        <f t="shared" si="14"/>
        <v>2.2914572864321606E-4</v>
      </c>
      <c r="W53" s="2">
        <f t="shared" si="14"/>
        <v>-6.1105527638190954E-4</v>
      </c>
    </row>
    <row r="54" spans="2:25" x14ac:dyDescent="0.35">
      <c r="H54" s="2">
        <f t="shared" si="7"/>
        <v>7.0351758793969852E-4</v>
      </c>
      <c r="I54" s="2">
        <f t="shared" ref="I54:W54" si="15">I32*I43</f>
        <v>1.0552763819095478E-3</v>
      </c>
      <c r="J54" s="2">
        <f t="shared" si="15"/>
        <v>1.0552763819095478E-3</v>
      </c>
      <c r="K54" s="2">
        <f t="shared" si="15"/>
        <v>-2.8844221105527638E-3</v>
      </c>
      <c r="L54" s="2">
        <f t="shared" si="15"/>
        <v>-1.4070351758793971E-4</v>
      </c>
      <c r="M54" s="2">
        <f t="shared" si="15"/>
        <v>1.4070351758793971E-4</v>
      </c>
      <c r="N54" s="2">
        <f t="shared" si="15"/>
        <v>-1.6180904522613065E-3</v>
      </c>
      <c r="O54" s="2">
        <f t="shared" si="15"/>
        <v>7.0351758793969852E-4</v>
      </c>
      <c r="P54" s="2">
        <f t="shared" si="15"/>
        <v>-1.2663316582914572E-3</v>
      </c>
      <c r="Q54" s="2">
        <f t="shared" si="15"/>
        <v>2.8140703517587942E-4</v>
      </c>
      <c r="R54" s="2">
        <f t="shared" si="15"/>
        <v>9.1457286432160799E-4</v>
      </c>
      <c r="S54" s="2">
        <f t="shared" si="15"/>
        <v>-2.8140703517587942E-4</v>
      </c>
      <c r="T54" s="2">
        <f t="shared" si="15"/>
        <v>1.4070351758793971E-4</v>
      </c>
      <c r="U54" s="2">
        <f t="shared" si="15"/>
        <v>4.221105527638191E-4</v>
      </c>
      <c r="V54" s="2">
        <f t="shared" si="15"/>
        <v>-1.4070351758793971E-4</v>
      </c>
      <c r="W54" s="2">
        <f t="shared" si="15"/>
        <v>2.1105527638190955E-4</v>
      </c>
    </row>
    <row r="55" spans="2:25" x14ac:dyDescent="0.35">
      <c r="H55" s="2">
        <f t="shared" si="7"/>
        <v>-8.9447236180904518E-4</v>
      </c>
      <c r="I55" s="2">
        <f t="shared" ref="I55:W55" si="16">I33*I44</f>
        <v>8.9447236180904518E-4</v>
      </c>
      <c r="J55" s="2">
        <f t="shared" si="16"/>
        <v>5.3668341708542711E-4</v>
      </c>
      <c r="K55" s="2">
        <f t="shared" si="16"/>
        <v>-4.382914572864321E-3</v>
      </c>
      <c r="L55" s="2">
        <f t="shared" si="16"/>
        <v>-3.0412060301507537E-3</v>
      </c>
      <c r="M55" s="2">
        <f t="shared" si="16"/>
        <v>1.7889447236180904E-3</v>
      </c>
      <c r="N55" s="2">
        <f t="shared" si="16"/>
        <v>-4.4723618090452259E-4</v>
      </c>
      <c r="O55" s="2">
        <f t="shared" si="16"/>
        <v>-6.2613065326633157E-4</v>
      </c>
      <c r="P55" s="2">
        <f t="shared" si="16"/>
        <v>2.6834170854271355E-4</v>
      </c>
      <c r="Q55" s="2">
        <f t="shared" si="16"/>
        <v>-1.8783919597989949E-3</v>
      </c>
      <c r="R55" s="2">
        <f t="shared" si="16"/>
        <v>-3.5778894472361807E-4</v>
      </c>
      <c r="S55" s="2">
        <f t="shared" si="16"/>
        <v>6.2613065326633157E-4</v>
      </c>
      <c r="T55" s="2">
        <f t="shared" si="16"/>
        <v>8.0502512562814061E-4</v>
      </c>
      <c r="U55" s="2">
        <f t="shared" si="16"/>
        <v>3.5778894472361807E-4</v>
      </c>
      <c r="V55" s="2">
        <f t="shared" si="16"/>
        <v>7.1557788944723614E-4</v>
      </c>
      <c r="W55" s="2">
        <f t="shared" si="16"/>
        <v>5.3668341708542711E-4</v>
      </c>
    </row>
    <row r="57" spans="2:25" x14ac:dyDescent="0.35">
      <c r="H57" s="2">
        <f t="shared" ref="H57:Q57" si="17">SUM(H46:H55)</f>
        <v>1.0251256281407035E-3</v>
      </c>
      <c r="I57" s="2">
        <f t="shared" si="17"/>
        <v>6.4070351758793963E-3</v>
      </c>
      <c r="J57" s="2">
        <f t="shared" si="17"/>
        <v>6.3567839195979902E-3</v>
      </c>
      <c r="K57" s="2">
        <f t="shared" si="17"/>
        <v>-3.4660301507537683E-2</v>
      </c>
      <c r="L57" s="2">
        <f t="shared" si="17"/>
        <v>-1.953366834170854E-2</v>
      </c>
      <c r="M57" s="2">
        <f t="shared" si="17"/>
        <v>6.5266331658291451E-3</v>
      </c>
      <c r="N57" s="2">
        <f t="shared" si="17"/>
        <v>-1.3485427135678392E-2</v>
      </c>
      <c r="O57" s="2">
        <f t="shared" si="17"/>
        <v>-5.6351758793969841E-3</v>
      </c>
      <c r="P57" s="2">
        <f t="shared" si="17"/>
        <v>-1.1417085427135678E-3</v>
      </c>
      <c r="Q57" s="2">
        <f t="shared" si="17"/>
        <v>-1.078994974874372E-2</v>
      </c>
      <c r="R57" s="2">
        <f t="shared" ref="R57:W57" si="18">SUM(R46:R55)</f>
        <v>-2.0592964824120603E-3</v>
      </c>
      <c r="S57" s="2">
        <f t="shared" si="18"/>
        <v>1.9356783919597987E-3</v>
      </c>
      <c r="T57" s="2">
        <f t="shared" si="18"/>
        <v>1.6773869346733668E-3</v>
      </c>
      <c r="U57" s="2">
        <f t="shared" si="18"/>
        <v>-5.9326633165829147E-3</v>
      </c>
      <c r="V57" s="2">
        <f t="shared" si="18"/>
        <v>1.9306532663316584E-3</v>
      </c>
      <c r="W57" s="2">
        <f t="shared" si="18"/>
        <v>-1.5379899497487437E-2</v>
      </c>
      <c r="Y57" s="2">
        <f>SUM(H57:W57)</f>
        <v>-8.2758793969849254E-2</v>
      </c>
    </row>
    <row r="59" spans="2:25" x14ac:dyDescent="0.35">
      <c r="H59" s="2">
        <f>H57</f>
        <v>1.0251256281407035E-3</v>
      </c>
      <c r="I59" s="2">
        <f>H59+I57</f>
        <v>7.4321608040200998E-3</v>
      </c>
      <c r="J59" s="2">
        <f t="shared" ref="J59:W59" si="19">I59+J57</f>
        <v>1.378894472361809E-2</v>
      </c>
      <c r="K59" s="2">
        <f t="shared" si="19"/>
        <v>-2.0871356783919593E-2</v>
      </c>
      <c r="L59" s="2">
        <f t="shared" si="19"/>
        <v>-4.040502512562813E-2</v>
      </c>
      <c r="M59" s="2">
        <f t="shared" si="19"/>
        <v>-3.3878391959798984E-2</v>
      </c>
      <c r="N59" s="2">
        <f t="shared" si="19"/>
        <v>-4.7363819095477377E-2</v>
      </c>
      <c r="O59" s="2">
        <f t="shared" si="19"/>
        <v>-5.2998994974874362E-2</v>
      </c>
      <c r="P59" s="2">
        <f t="shared" si="19"/>
        <v>-5.4140703517587929E-2</v>
      </c>
      <c r="Q59" s="2">
        <f t="shared" si="19"/>
        <v>-6.4930653266331656E-2</v>
      </c>
      <c r="R59" s="2">
        <f t="shared" si="19"/>
        <v>-6.6989949748743713E-2</v>
      </c>
      <c r="S59" s="2">
        <f t="shared" si="19"/>
        <v>-6.5054271356783919E-2</v>
      </c>
      <c r="T59" s="2">
        <f t="shared" si="19"/>
        <v>-6.3376884422110549E-2</v>
      </c>
      <c r="U59" s="2">
        <f t="shared" si="19"/>
        <v>-6.9309547738693467E-2</v>
      </c>
      <c r="V59" s="2">
        <f t="shared" si="19"/>
        <v>-6.7378894472361811E-2</v>
      </c>
      <c r="W59" s="2">
        <f t="shared" si="19"/>
        <v>-8.2758793969849254E-2</v>
      </c>
    </row>
    <row r="60" spans="2:25" x14ac:dyDescent="0.35"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2:25" x14ac:dyDescent="0.35"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2:25" x14ac:dyDescent="0.35">
      <c r="D62" s="15" t="s">
        <v>36</v>
      </c>
      <c r="E62" s="15"/>
      <c r="F62" s="15"/>
      <c r="G62" s="15"/>
      <c r="H62" s="1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2:25" x14ac:dyDescent="0.35"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2:25" x14ac:dyDescent="0.35">
      <c r="B64" t="s">
        <v>28</v>
      </c>
      <c r="D64" s="10" t="s">
        <v>5</v>
      </c>
    </row>
    <row r="65" spans="1:25" x14ac:dyDescent="0.35">
      <c r="A65">
        <v>1</v>
      </c>
      <c r="B65">
        <v>0.13200000000000001</v>
      </c>
      <c r="D65" s="2">
        <v>-8.5999999999999993E-2</v>
      </c>
      <c r="F65" s="2">
        <f>B65*D65</f>
        <v>-1.1351999999999999E-2</v>
      </c>
      <c r="H65" s="2">
        <v>1.2E-2</v>
      </c>
      <c r="I65" s="2">
        <v>-4.0000000000000001E-3</v>
      </c>
      <c r="J65" s="2">
        <v>0.04</v>
      </c>
      <c r="K65" s="2">
        <v>-0.06</v>
      </c>
      <c r="L65" s="2">
        <v>-2.3E-2</v>
      </c>
      <c r="M65" s="2">
        <v>8.0000000000000002E-3</v>
      </c>
      <c r="N65" s="2">
        <v>1E-3</v>
      </c>
      <c r="O65" s="2">
        <v>-1.2999999999999999E-2</v>
      </c>
      <c r="P65" s="2">
        <v>-6.0000000000000001E-3</v>
      </c>
      <c r="Q65" s="2">
        <v>-1.2E-2</v>
      </c>
      <c r="R65" s="2">
        <v>-4.0000000000000001E-3</v>
      </c>
      <c r="S65" s="2">
        <v>-2E-3</v>
      </c>
      <c r="T65" s="2">
        <v>-5.0000000000000001E-3</v>
      </c>
      <c r="U65" s="2">
        <v>-0.02</v>
      </c>
      <c r="V65" s="2">
        <v>1E-3</v>
      </c>
      <c r="W65" s="2">
        <v>-1E-3</v>
      </c>
      <c r="Y65" s="2"/>
    </row>
    <row r="66" spans="1:25" x14ac:dyDescent="0.35">
      <c r="A66">
        <v>2</v>
      </c>
      <c r="B66">
        <v>8.2000000000000003E-2</v>
      </c>
      <c r="D66" s="2">
        <v>-0.13</v>
      </c>
      <c r="F66" s="2">
        <f t="shared" ref="F66:F74" si="20">B66*D66</f>
        <v>-1.0660000000000001E-2</v>
      </c>
      <c r="H66" s="2">
        <v>-0.02</v>
      </c>
      <c r="I66" s="2">
        <v>4.2999999999999997E-2</v>
      </c>
      <c r="J66" s="2">
        <v>-8.0000000000000002E-3</v>
      </c>
      <c r="K66" s="2">
        <v>-3.9E-2</v>
      </c>
      <c r="L66" s="2">
        <v>-2.1999999999999999E-2</v>
      </c>
      <c r="M66" s="2">
        <v>0.01</v>
      </c>
      <c r="N66" s="2">
        <v>-8.0000000000000002E-3</v>
      </c>
      <c r="O66" s="2">
        <v>-7.0000000000000001E-3</v>
      </c>
      <c r="P66" s="2">
        <v>-8.0000000000000002E-3</v>
      </c>
      <c r="Q66" s="2">
        <v>-1.9E-2</v>
      </c>
      <c r="R66" s="2">
        <v>-3.0000000000000001E-3</v>
      </c>
      <c r="S66" s="2">
        <v>-7.0000000000000001E-3</v>
      </c>
      <c r="T66" s="2">
        <v>0</v>
      </c>
      <c r="U66" s="2">
        <v>1E-3</v>
      </c>
      <c r="V66" s="2">
        <v>-1.4E-2</v>
      </c>
      <c r="W66" s="2">
        <v>-2.3E-2</v>
      </c>
      <c r="Y66" s="2"/>
    </row>
    <row r="67" spans="1:25" x14ac:dyDescent="0.35">
      <c r="A67">
        <v>3</v>
      </c>
      <c r="B67">
        <v>0.13900000000000001</v>
      </c>
      <c r="D67" s="2">
        <v>-0.152</v>
      </c>
      <c r="F67" s="2">
        <f t="shared" si="20"/>
        <v>-2.1128000000000001E-2</v>
      </c>
      <c r="H67" s="2">
        <v>-2.7E-2</v>
      </c>
      <c r="I67" s="2">
        <v>0</v>
      </c>
      <c r="J67" s="2">
        <v>8.0000000000000002E-3</v>
      </c>
      <c r="K67" s="2">
        <v>-1.6E-2</v>
      </c>
      <c r="L67" s="2">
        <v>-1.7999999999999999E-2</v>
      </c>
      <c r="M67" s="2">
        <v>-7.0000000000000001E-3</v>
      </c>
      <c r="N67" s="2">
        <v>-7.0000000000000001E-3</v>
      </c>
      <c r="O67" s="2">
        <v>-1.4E-2</v>
      </c>
      <c r="P67" s="2">
        <v>-0.01</v>
      </c>
      <c r="Q67" s="2">
        <v>-7.0000000000000001E-3</v>
      </c>
      <c r="R67" s="2">
        <v>-2E-3</v>
      </c>
      <c r="S67" s="2">
        <v>-7.0000000000000001E-3</v>
      </c>
      <c r="T67" s="2">
        <v>4.0000000000000001E-3</v>
      </c>
      <c r="U67" s="2">
        <v>-8.0000000000000002E-3</v>
      </c>
      <c r="V67" s="2">
        <v>-6.0000000000000001E-3</v>
      </c>
      <c r="W67" s="2">
        <v>-2.5999999999999999E-2</v>
      </c>
      <c r="Y67" s="2"/>
    </row>
    <row r="68" spans="1:25" x14ac:dyDescent="0.35">
      <c r="A68">
        <v>4</v>
      </c>
      <c r="B68">
        <v>7.0999999999999994E-2</v>
      </c>
      <c r="D68" s="2">
        <v>-6.4000000000000001E-2</v>
      </c>
      <c r="F68" s="2">
        <f t="shared" si="20"/>
        <v>-4.5439999999999994E-3</v>
      </c>
      <c r="H68" s="2">
        <v>5.0000000000000001E-3</v>
      </c>
      <c r="I68" s="2">
        <v>-2.5000000000000001E-2</v>
      </c>
      <c r="J68" s="2">
        <v>-1.4E-2</v>
      </c>
      <c r="K68" s="2">
        <v>0</v>
      </c>
      <c r="L68" s="2">
        <v>8.9999999999999993E-3</v>
      </c>
      <c r="M68" s="2">
        <v>4.0000000000000001E-3</v>
      </c>
      <c r="N68" s="2">
        <v>4.0000000000000001E-3</v>
      </c>
      <c r="O68" s="2">
        <v>-4.0000000000000001E-3</v>
      </c>
      <c r="P68" s="2">
        <v>-6.0000000000000001E-3</v>
      </c>
      <c r="Q68" s="2">
        <v>-3.0000000000000001E-3</v>
      </c>
      <c r="R68" s="2">
        <v>-8.9999999999999993E-3</v>
      </c>
      <c r="S68" s="2">
        <v>-1.6E-2</v>
      </c>
      <c r="T68" s="2">
        <v>1E-3</v>
      </c>
      <c r="U68" s="2">
        <v>0</v>
      </c>
      <c r="V68" s="2">
        <v>0</v>
      </c>
      <c r="W68" s="2">
        <v>-1.0999999999999999E-2</v>
      </c>
      <c r="Y68" s="2"/>
    </row>
    <row r="69" spans="1:25" x14ac:dyDescent="0.35">
      <c r="A69">
        <v>5</v>
      </c>
      <c r="B69">
        <v>7.4999999999999997E-2</v>
      </c>
      <c r="D69" s="2">
        <v>-0.17799999999999999</v>
      </c>
      <c r="F69" s="2">
        <f t="shared" si="20"/>
        <v>-1.3349999999999999E-2</v>
      </c>
      <c r="H69" s="2">
        <v>-8.9999999999999993E-3</v>
      </c>
      <c r="I69" s="2">
        <v>-2.5999999999999999E-2</v>
      </c>
      <c r="J69" s="2">
        <v>1E-3</v>
      </c>
      <c r="K69" s="2">
        <v>-4.4999999999999998E-2</v>
      </c>
      <c r="L69" s="2">
        <v>-1.4999999999999999E-2</v>
      </c>
      <c r="M69" s="2">
        <v>-1.2E-2</v>
      </c>
      <c r="N69" s="2">
        <v>2E-3</v>
      </c>
      <c r="O69" s="2">
        <v>-2.1999999999999999E-2</v>
      </c>
      <c r="P69" s="2">
        <v>7.0000000000000001E-3</v>
      </c>
      <c r="Q69" s="2">
        <v>-8.0000000000000002E-3</v>
      </c>
      <c r="R69" s="2">
        <v>-1.2999999999999999E-2</v>
      </c>
      <c r="S69" s="2">
        <v>6.0000000000000001E-3</v>
      </c>
      <c r="T69" s="2">
        <v>1.0999999999999999E-2</v>
      </c>
      <c r="U69" s="2">
        <v>-2.3E-2</v>
      </c>
      <c r="V69" s="2">
        <v>-2.4E-2</v>
      </c>
      <c r="W69" s="2">
        <v>-1.2999999999999999E-2</v>
      </c>
      <c r="Y69" s="2"/>
    </row>
    <row r="70" spans="1:25" x14ac:dyDescent="0.35">
      <c r="A70">
        <v>6</v>
      </c>
      <c r="B70">
        <v>0.11600000000000001</v>
      </c>
      <c r="D70" s="2">
        <v>-0.11899999999999999</v>
      </c>
      <c r="F70" s="2">
        <f t="shared" si="20"/>
        <v>-1.3804E-2</v>
      </c>
      <c r="H70" s="2">
        <v>1.7999999999999999E-2</v>
      </c>
      <c r="I70" s="2">
        <v>-8.0000000000000002E-3</v>
      </c>
      <c r="J70" s="2">
        <v>2.1000000000000001E-2</v>
      </c>
      <c r="K70" s="2">
        <v>-3.1E-2</v>
      </c>
      <c r="L70" s="2">
        <v>-4.4999999999999998E-2</v>
      </c>
      <c r="M70" s="2">
        <v>-2E-3</v>
      </c>
      <c r="N70" s="2">
        <v>-8.9999999999999993E-3</v>
      </c>
      <c r="O70" s="2">
        <v>-1.4E-2</v>
      </c>
      <c r="P70" s="2">
        <v>-1.4E-2</v>
      </c>
      <c r="Q70" s="2">
        <v>-3.0000000000000001E-3</v>
      </c>
      <c r="R70" s="2">
        <v>-2.5999999999999999E-2</v>
      </c>
      <c r="S70" s="2">
        <v>1.2E-2</v>
      </c>
      <c r="T70" s="2">
        <v>-2E-3</v>
      </c>
      <c r="U70" s="2">
        <v>-8.0000000000000002E-3</v>
      </c>
      <c r="V70" s="2">
        <v>1.0999999999999999E-2</v>
      </c>
      <c r="W70" s="2">
        <v>-0.04</v>
      </c>
      <c r="Y70" s="2"/>
    </row>
    <row r="71" spans="1:25" x14ac:dyDescent="0.35">
      <c r="A71">
        <v>7</v>
      </c>
      <c r="B71">
        <v>0.14499999999999999</v>
      </c>
      <c r="D71" s="2">
        <v>-9.6000000000000002E-2</v>
      </c>
      <c r="F71" s="2">
        <f t="shared" si="20"/>
        <v>-1.392E-2</v>
      </c>
      <c r="H71" s="2">
        <v>-8.0000000000000002E-3</v>
      </c>
      <c r="I71" s="13">
        <v>-4.0000000000000001E-3</v>
      </c>
      <c r="J71" s="2">
        <v>-1.4E-2</v>
      </c>
      <c r="K71" s="2">
        <v>-0.02</v>
      </c>
      <c r="L71" s="2">
        <v>-1.0999999999999999E-2</v>
      </c>
      <c r="M71" s="2">
        <v>-6.0000000000000001E-3</v>
      </c>
      <c r="N71" s="2">
        <v>-8.9999999999999993E-3</v>
      </c>
      <c r="O71" s="2">
        <v>-2E-3</v>
      </c>
      <c r="P71" s="2">
        <v>-8.9999999999999993E-3</v>
      </c>
      <c r="Q71" s="2">
        <v>-8.0000000000000002E-3</v>
      </c>
      <c r="R71" s="2">
        <v>-8.0000000000000002E-3</v>
      </c>
      <c r="S71" s="2">
        <v>7.0000000000000001E-3</v>
      </c>
      <c r="T71" s="2">
        <v>2E-3</v>
      </c>
      <c r="U71" s="2">
        <v>-3.0000000000000001E-3</v>
      </c>
      <c r="V71" s="2">
        <v>-3.0000000000000001E-3</v>
      </c>
      <c r="W71" s="2">
        <v>-3.0000000000000001E-3</v>
      </c>
      <c r="Y71" s="2"/>
    </row>
    <row r="72" spans="1:25" x14ac:dyDescent="0.35">
      <c r="A72">
        <v>8</v>
      </c>
      <c r="B72">
        <v>7.5999999999999998E-2</v>
      </c>
      <c r="D72" s="2">
        <v>-5.0999999999999997E-2</v>
      </c>
      <c r="F72" s="2">
        <f t="shared" si="20"/>
        <v>-3.8759999999999997E-3</v>
      </c>
      <c r="H72" s="2">
        <v>-1.2E-2</v>
      </c>
      <c r="I72" s="13">
        <v>-3.9E-2</v>
      </c>
      <c r="J72" s="2">
        <v>3.3000000000000002E-2</v>
      </c>
      <c r="K72" s="2">
        <v>-1.4999999999999999E-2</v>
      </c>
      <c r="L72" s="2">
        <v>3.0000000000000001E-3</v>
      </c>
      <c r="M72" s="2">
        <v>8.0000000000000002E-3</v>
      </c>
      <c r="N72" s="2">
        <v>-2.9000000000000001E-2</v>
      </c>
      <c r="O72" s="2">
        <v>-8.0000000000000002E-3</v>
      </c>
      <c r="P72" s="2">
        <v>1.0999999999999999E-2</v>
      </c>
      <c r="Q72" s="2">
        <v>-2.9000000000000001E-2</v>
      </c>
      <c r="R72" s="2">
        <v>0</v>
      </c>
      <c r="S72" s="2">
        <v>-3.0000000000000001E-3</v>
      </c>
      <c r="T72" s="2">
        <v>5.0000000000000001E-3</v>
      </c>
      <c r="U72" s="2">
        <v>0</v>
      </c>
      <c r="V72" s="2">
        <v>2E-3</v>
      </c>
      <c r="W72" s="2">
        <v>-1E-3</v>
      </c>
      <c r="Y72" s="2"/>
    </row>
    <row r="73" spans="1:25" x14ac:dyDescent="0.35">
      <c r="A73">
        <v>9</v>
      </c>
      <c r="B73">
        <v>7.0000000000000007E-2</v>
      </c>
      <c r="D73" s="2">
        <v>-4.5999999999999999E-2</v>
      </c>
      <c r="F73" s="2">
        <f t="shared" si="20"/>
        <v>-3.2200000000000002E-3</v>
      </c>
      <c r="H73" s="2">
        <v>3.0000000000000001E-3</v>
      </c>
      <c r="I73" s="13">
        <v>2E-3</v>
      </c>
      <c r="J73" s="2">
        <v>1.6E-2</v>
      </c>
      <c r="K73" s="2">
        <v>-2.1000000000000001E-2</v>
      </c>
      <c r="L73" s="2">
        <v>-6.0000000000000001E-3</v>
      </c>
      <c r="M73" s="2">
        <v>0</v>
      </c>
      <c r="N73" s="2">
        <v>-0.02</v>
      </c>
      <c r="O73" s="2">
        <v>6.0000000000000001E-3</v>
      </c>
      <c r="P73" s="2">
        <v>-1.6E-2</v>
      </c>
      <c r="Q73" s="2">
        <v>1E-3</v>
      </c>
      <c r="R73" s="2">
        <v>2E-3</v>
      </c>
      <c r="S73" s="2">
        <v>0</v>
      </c>
      <c r="T73" s="2">
        <v>1E-3</v>
      </c>
      <c r="U73" s="2">
        <v>-6.0000000000000001E-3</v>
      </c>
      <c r="V73" s="2">
        <v>-3.0000000000000001E-3</v>
      </c>
      <c r="W73" s="2">
        <v>-1E-3</v>
      </c>
      <c r="Y73" s="2"/>
    </row>
    <row r="74" spans="1:25" x14ac:dyDescent="0.35">
      <c r="A74">
        <v>10</v>
      </c>
      <c r="B74">
        <v>8.8999999999999996E-2</v>
      </c>
      <c r="D74" s="2">
        <v>-9.1999999999999998E-2</v>
      </c>
      <c r="F74" s="2">
        <f t="shared" si="20"/>
        <v>-8.1879999999999991E-3</v>
      </c>
      <c r="H74" s="2">
        <v>-0.02</v>
      </c>
      <c r="I74" s="13">
        <v>-2.1999999999999999E-2</v>
      </c>
      <c r="J74" s="2">
        <v>8.9999999999999993E-3</v>
      </c>
      <c r="K74" s="2">
        <v>-3.5999999999999997E-2</v>
      </c>
      <c r="L74" s="2">
        <v>-1.9E-2</v>
      </c>
      <c r="M74" s="2">
        <v>8.0000000000000002E-3</v>
      </c>
      <c r="N74" s="2">
        <v>-1E-3</v>
      </c>
      <c r="O74" s="2">
        <v>-1.7000000000000001E-2</v>
      </c>
      <c r="P74" s="2">
        <v>-3.0000000000000001E-3</v>
      </c>
      <c r="Q74" s="2">
        <v>-1.9E-2</v>
      </c>
      <c r="R74" s="2">
        <v>-1E-3</v>
      </c>
      <c r="S74" s="2">
        <v>7.0000000000000001E-3</v>
      </c>
      <c r="T74" s="2">
        <v>1.2999999999999999E-2</v>
      </c>
      <c r="U74" s="2">
        <v>-1E-3</v>
      </c>
      <c r="V74" s="2">
        <v>0.01</v>
      </c>
      <c r="W74" s="2">
        <v>-8.9999999999999993E-3</v>
      </c>
      <c r="Y74" s="2"/>
    </row>
    <row r="76" spans="1:25" x14ac:dyDescent="0.35">
      <c r="F76" s="2">
        <f>SUM(F65:F74)</f>
        <v>-0.10404200000000001</v>
      </c>
      <c r="H76">
        <f t="shared" ref="H76:W85" si="21">$B65/$B$35</f>
        <v>0.13266331658291455</v>
      </c>
      <c r="I76">
        <f t="shared" si="21"/>
        <v>0.13266331658291455</v>
      </c>
      <c r="J76">
        <f t="shared" si="21"/>
        <v>0.13266331658291455</v>
      </c>
      <c r="K76">
        <f t="shared" si="21"/>
        <v>0.13266331658291455</v>
      </c>
      <c r="L76">
        <f t="shared" si="21"/>
        <v>0.13266331658291455</v>
      </c>
      <c r="M76">
        <f t="shared" si="21"/>
        <v>0.13266331658291455</v>
      </c>
      <c r="N76">
        <f t="shared" si="21"/>
        <v>0.13266331658291455</v>
      </c>
      <c r="O76">
        <f t="shared" si="21"/>
        <v>0.13266331658291455</v>
      </c>
      <c r="P76">
        <f t="shared" si="21"/>
        <v>0.13266331658291455</v>
      </c>
      <c r="Q76">
        <f t="shared" si="21"/>
        <v>0.13266331658291455</v>
      </c>
      <c r="R76">
        <f t="shared" si="21"/>
        <v>0.13266331658291455</v>
      </c>
      <c r="S76">
        <f t="shared" si="21"/>
        <v>0.13266331658291455</v>
      </c>
      <c r="T76">
        <f t="shared" si="21"/>
        <v>0.13266331658291455</v>
      </c>
      <c r="U76">
        <f t="shared" si="21"/>
        <v>0.13266331658291455</v>
      </c>
      <c r="V76">
        <f t="shared" si="21"/>
        <v>0.13266331658291455</v>
      </c>
      <c r="W76">
        <f t="shared" si="21"/>
        <v>0.13266331658291455</v>
      </c>
    </row>
    <row r="77" spans="1:25" x14ac:dyDescent="0.35">
      <c r="H77">
        <f t="shared" si="21"/>
        <v>8.2412060301507536E-2</v>
      </c>
      <c r="I77">
        <f t="shared" si="21"/>
        <v>8.2412060301507536E-2</v>
      </c>
      <c r="J77">
        <f t="shared" si="21"/>
        <v>8.2412060301507536E-2</v>
      </c>
      <c r="K77">
        <f t="shared" si="21"/>
        <v>8.2412060301507536E-2</v>
      </c>
      <c r="L77">
        <f t="shared" si="21"/>
        <v>8.2412060301507536E-2</v>
      </c>
      <c r="M77">
        <f t="shared" si="21"/>
        <v>8.2412060301507536E-2</v>
      </c>
      <c r="N77">
        <f t="shared" si="21"/>
        <v>8.2412060301507536E-2</v>
      </c>
      <c r="O77">
        <f t="shared" si="21"/>
        <v>8.2412060301507536E-2</v>
      </c>
      <c r="P77">
        <f t="shared" si="21"/>
        <v>8.2412060301507536E-2</v>
      </c>
      <c r="Q77">
        <f t="shared" si="21"/>
        <v>8.2412060301507536E-2</v>
      </c>
      <c r="R77">
        <f t="shared" si="21"/>
        <v>8.2412060301507536E-2</v>
      </c>
      <c r="S77">
        <f t="shared" si="21"/>
        <v>8.2412060301507536E-2</v>
      </c>
      <c r="T77">
        <f t="shared" si="21"/>
        <v>8.2412060301507536E-2</v>
      </c>
      <c r="U77">
        <f t="shared" si="21"/>
        <v>8.2412060301507536E-2</v>
      </c>
      <c r="V77">
        <f t="shared" si="21"/>
        <v>8.2412060301507536E-2</v>
      </c>
      <c r="W77">
        <f t="shared" si="21"/>
        <v>8.2412060301507536E-2</v>
      </c>
    </row>
    <row r="78" spans="1:25" x14ac:dyDescent="0.35">
      <c r="H78">
        <f t="shared" si="21"/>
        <v>0.13969849246231156</v>
      </c>
      <c r="I78">
        <f t="shared" si="21"/>
        <v>0.13969849246231156</v>
      </c>
      <c r="J78">
        <f t="shared" si="21"/>
        <v>0.13969849246231156</v>
      </c>
      <c r="K78">
        <f t="shared" si="21"/>
        <v>0.13969849246231156</v>
      </c>
      <c r="L78">
        <f t="shared" si="21"/>
        <v>0.13969849246231156</v>
      </c>
      <c r="M78">
        <f t="shared" si="21"/>
        <v>0.13969849246231156</v>
      </c>
      <c r="N78">
        <f t="shared" si="21"/>
        <v>0.13969849246231156</v>
      </c>
      <c r="O78">
        <f t="shared" si="21"/>
        <v>0.13969849246231156</v>
      </c>
      <c r="P78">
        <f t="shared" si="21"/>
        <v>0.13969849246231156</v>
      </c>
      <c r="Q78">
        <f t="shared" si="21"/>
        <v>0.13969849246231156</v>
      </c>
      <c r="R78">
        <f t="shared" si="21"/>
        <v>0.13969849246231156</v>
      </c>
      <c r="S78">
        <f t="shared" si="21"/>
        <v>0.13969849246231156</v>
      </c>
      <c r="T78">
        <f t="shared" si="21"/>
        <v>0.13969849246231156</v>
      </c>
      <c r="U78">
        <f t="shared" si="21"/>
        <v>0.13969849246231156</v>
      </c>
      <c r="V78">
        <f t="shared" si="21"/>
        <v>0.13969849246231156</v>
      </c>
      <c r="W78">
        <f t="shared" si="21"/>
        <v>0.13969849246231156</v>
      </c>
    </row>
    <row r="79" spans="1:25" x14ac:dyDescent="0.35">
      <c r="H79">
        <f t="shared" si="21"/>
        <v>7.1356783919597974E-2</v>
      </c>
      <c r="I79">
        <f t="shared" si="21"/>
        <v>7.1356783919597974E-2</v>
      </c>
      <c r="J79">
        <f t="shared" si="21"/>
        <v>7.1356783919597974E-2</v>
      </c>
      <c r="K79">
        <f t="shared" si="21"/>
        <v>7.1356783919597974E-2</v>
      </c>
      <c r="L79">
        <f t="shared" si="21"/>
        <v>7.1356783919597974E-2</v>
      </c>
      <c r="M79">
        <f t="shared" si="21"/>
        <v>7.1356783919597974E-2</v>
      </c>
      <c r="N79">
        <f t="shared" si="21"/>
        <v>7.1356783919597974E-2</v>
      </c>
      <c r="O79">
        <f t="shared" si="21"/>
        <v>7.1356783919597974E-2</v>
      </c>
      <c r="P79">
        <f t="shared" si="21"/>
        <v>7.1356783919597974E-2</v>
      </c>
      <c r="Q79">
        <f t="shared" si="21"/>
        <v>7.1356783919597974E-2</v>
      </c>
      <c r="R79">
        <f t="shared" si="21"/>
        <v>7.1356783919597974E-2</v>
      </c>
      <c r="S79">
        <f t="shared" si="21"/>
        <v>7.1356783919597974E-2</v>
      </c>
      <c r="T79">
        <f t="shared" si="21"/>
        <v>7.1356783919597974E-2</v>
      </c>
      <c r="U79">
        <f t="shared" si="21"/>
        <v>7.1356783919597974E-2</v>
      </c>
      <c r="V79">
        <f t="shared" si="21"/>
        <v>7.1356783919597974E-2</v>
      </c>
      <c r="W79">
        <f t="shared" si="21"/>
        <v>7.1356783919597974E-2</v>
      </c>
    </row>
    <row r="80" spans="1:25" x14ac:dyDescent="0.35">
      <c r="H80">
        <f t="shared" si="21"/>
        <v>7.5376884422110546E-2</v>
      </c>
      <c r="I80">
        <f t="shared" si="21"/>
        <v>7.5376884422110546E-2</v>
      </c>
      <c r="J80">
        <f t="shared" si="21"/>
        <v>7.5376884422110546E-2</v>
      </c>
      <c r="K80">
        <f t="shared" si="21"/>
        <v>7.5376884422110546E-2</v>
      </c>
      <c r="L80">
        <f t="shared" si="21"/>
        <v>7.5376884422110546E-2</v>
      </c>
      <c r="M80">
        <f t="shared" si="21"/>
        <v>7.5376884422110546E-2</v>
      </c>
      <c r="N80">
        <f t="shared" si="21"/>
        <v>7.5376884422110546E-2</v>
      </c>
      <c r="O80">
        <f t="shared" si="21"/>
        <v>7.5376884422110546E-2</v>
      </c>
      <c r="P80">
        <f t="shared" si="21"/>
        <v>7.5376884422110546E-2</v>
      </c>
      <c r="Q80">
        <f t="shared" si="21"/>
        <v>7.5376884422110546E-2</v>
      </c>
      <c r="R80">
        <f t="shared" si="21"/>
        <v>7.5376884422110546E-2</v>
      </c>
      <c r="S80">
        <f t="shared" si="21"/>
        <v>7.5376884422110546E-2</v>
      </c>
      <c r="T80">
        <f t="shared" si="21"/>
        <v>7.5376884422110546E-2</v>
      </c>
      <c r="U80">
        <f t="shared" si="21"/>
        <v>7.5376884422110546E-2</v>
      </c>
      <c r="V80">
        <f t="shared" si="21"/>
        <v>7.5376884422110546E-2</v>
      </c>
      <c r="W80">
        <f t="shared" si="21"/>
        <v>7.5376884422110546E-2</v>
      </c>
    </row>
    <row r="81" spans="8:23" x14ac:dyDescent="0.35">
      <c r="H81">
        <f t="shared" si="21"/>
        <v>0.11658291457286432</v>
      </c>
      <c r="I81">
        <f t="shared" si="21"/>
        <v>0.11658291457286432</v>
      </c>
      <c r="J81">
        <f t="shared" si="21"/>
        <v>0.11658291457286432</v>
      </c>
      <c r="K81">
        <f t="shared" si="21"/>
        <v>0.11658291457286432</v>
      </c>
      <c r="L81">
        <f t="shared" si="21"/>
        <v>0.11658291457286432</v>
      </c>
      <c r="M81">
        <f t="shared" si="21"/>
        <v>0.11658291457286432</v>
      </c>
      <c r="N81">
        <f t="shared" si="21"/>
        <v>0.11658291457286432</v>
      </c>
      <c r="O81">
        <f t="shared" si="21"/>
        <v>0.11658291457286432</v>
      </c>
      <c r="P81">
        <f t="shared" si="21"/>
        <v>0.11658291457286432</v>
      </c>
      <c r="Q81">
        <f t="shared" si="21"/>
        <v>0.11658291457286432</v>
      </c>
      <c r="R81">
        <f t="shared" si="21"/>
        <v>0.11658291457286432</v>
      </c>
      <c r="S81">
        <f t="shared" si="21"/>
        <v>0.11658291457286432</v>
      </c>
      <c r="T81">
        <f t="shared" si="21"/>
        <v>0.11658291457286432</v>
      </c>
      <c r="U81">
        <f t="shared" si="21"/>
        <v>0.11658291457286432</v>
      </c>
      <c r="V81">
        <f t="shared" si="21"/>
        <v>0.11658291457286432</v>
      </c>
      <c r="W81">
        <f t="shared" si="21"/>
        <v>0.11658291457286432</v>
      </c>
    </row>
    <row r="82" spans="8:23" x14ac:dyDescent="0.35">
      <c r="H82">
        <f t="shared" si="21"/>
        <v>0.14572864321608037</v>
      </c>
      <c r="I82">
        <f t="shared" si="21"/>
        <v>0.14572864321608037</v>
      </c>
      <c r="J82">
        <f t="shared" si="21"/>
        <v>0.14572864321608037</v>
      </c>
      <c r="K82">
        <f t="shared" si="21"/>
        <v>0.14572864321608037</v>
      </c>
      <c r="L82">
        <f t="shared" si="21"/>
        <v>0.14572864321608037</v>
      </c>
      <c r="M82">
        <f t="shared" si="21"/>
        <v>0.14572864321608037</v>
      </c>
      <c r="N82">
        <f t="shared" si="21"/>
        <v>0.14572864321608037</v>
      </c>
      <c r="O82">
        <f t="shared" si="21"/>
        <v>0.14572864321608037</v>
      </c>
      <c r="P82">
        <f t="shared" si="21"/>
        <v>0.14572864321608037</v>
      </c>
      <c r="Q82">
        <f t="shared" si="21"/>
        <v>0.14572864321608037</v>
      </c>
      <c r="R82">
        <f t="shared" si="21"/>
        <v>0.14572864321608037</v>
      </c>
      <c r="S82">
        <f t="shared" si="21"/>
        <v>0.14572864321608037</v>
      </c>
      <c r="T82">
        <f t="shared" si="21"/>
        <v>0.14572864321608037</v>
      </c>
      <c r="U82">
        <f t="shared" si="21"/>
        <v>0.14572864321608037</v>
      </c>
      <c r="V82">
        <f t="shared" si="21"/>
        <v>0.14572864321608037</v>
      </c>
      <c r="W82">
        <f t="shared" si="21"/>
        <v>0.14572864321608037</v>
      </c>
    </row>
    <row r="83" spans="8:23" x14ac:dyDescent="0.35">
      <c r="H83">
        <f t="shared" si="21"/>
        <v>7.6381909547738686E-2</v>
      </c>
      <c r="I83">
        <f t="shared" si="21"/>
        <v>7.6381909547738686E-2</v>
      </c>
      <c r="J83">
        <f t="shared" si="21"/>
        <v>7.6381909547738686E-2</v>
      </c>
      <c r="K83">
        <f t="shared" si="21"/>
        <v>7.6381909547738686E-2</v>
      </c>
      <c r="L83">
        <f t="shared" si="21"/>
        <v>7.6381909547738686E-2</v>
      </c>
      <c r="M83">
        <f t="shared" si="21"/>
        <v>7.6381909547738686E-2</v>
      </c>
      <c r="N83">
        <f t="shared" si="21"/>
        <v>7.6381909547738686E-2</v>
      </c>
      <c r="O83">
        <f t="shared" si="21"/>
        <v>7.6381909547738686E-2</v>
      </c>
      <c r="P83">
        <f t="shared" si="21"/>
        <v>7.6381909547738686E-2</v>
      </c>
      <c r="Q83">
        <f t="shared" si="21"/>
        <v>7.6381909547738686E-2</v>
      </c>
      <c r="R83">
        <f t="shared" si="21"/>
        <v>7.6381909547738686E-2</v>
      </c>
      <c r="S83">
        <f t="shared" si="21"/>
        <v>7.6381909547738686E-2</v>
      </c>
      <c r="T83">
        <f t="shared" si="21"/>
        <v>7.6381909547738686E-2</v>
      </c>
      <c r="U83">
        <f t="shared" si="21"/>
        <v>7.6381909547738686E-2</v>
      </c>
      <c r="V83">
        <f t="shared" si="21"/>
        <v>7.6381909547738686E-2</v>
      </c>
      <c r="W83">
        <f t="shared" si="21"/>
        <v>7.6381909547738686E-2</v>
      </c>
    </row>
    <row r="84" spans="8:23" x14ac:dyDescent="0.35">
      <c r="H84">
        <f t="shared" si="21"/>
        <v>7.0351758793969849E-2</v>
      </c>
      <c r="I84">
        <f t="shared" si="21"/>
        <v>7.0351758793969849E-2</v>
      </c>
      <c r="J84">
        <f t="shared" si="21"/>
        <v>7.0351758793969849E-2</v>
      </c>
      <c r="K84">
        <f t="shared" si="21"/>
        <v>7.0351758793969849E-2</v>
      </c>
      <c r="L84">
        <f t="shared" si="21"/>
        <v>7.0351758793969849E-2</v>
      </c>
      <c r="M84">
        <f t="shared" si="21"/>
        <v>7.0351758793969849E-2</v>
      </c>
      <c r="N84">
        <f t="shared" si="21"/>
        <v>7.0351758793969849E-2</v>
      </c>
      <c r="O84">
        <f t="shared" si="21"/>
        <v>7.0351758793969849E-2</v>
      </c>
      <c r="P84">
        <f t="shared" si="21"/>
        <v>7.0351758793969849E-2</v>
      </c>
      <c r="Q84">
        <f t="shared" si="21"/>
        <v>7.0351758793969849E-2</v>
      </c>
      <c r="R84">
        <f t="shared" si="21"/>
        <v>7.0351758793969849E-2</v>
      </c>
      <c r="S84">
        <f t="shared" si="21"/>
        <v>7.0351758793969849E-2</v>
      </c>
      <c r="T84">
        <f t="shared" si="21"/>
        <v>7.0351758793969849E-2</v>
      </c>
      <c r="U84">
        <f t="shared" si="21"/>
        <v>7.0351758793969849E-2</v>
      </c>
      <c r="V84">
        <f t="shared" si="21"/>
        <v>7.0351758793969849E-2</v>
      </c>
      <c r="W84">
        <f t="shared" si="21"/>
        <v>7.0351758793969849E-2</v>
      </c>
    </row>
    <row r="85" spans="8:23" x14ac:dyDescent="0.35">
      <c r="H85">
        <f t="shared" si="21"/>
        <v>8.9447236180904513E-2</v>
      </c>
      <c r="I85">
        <f t="shared" si="21"/>
        <v>8.9447236180904513E-2</v>
      </c>
      <c r="J85">
        <f t="shared" si="21"/>
        <v>8.9447236180904513E-2</v>
      </c>
      <c r="K85">
        <f t="shared" si="21"/>
        <v>8.9447236180904513E-2</v>
      </c>
      <c r="L85">
        <f t="shared" si="21"/>
        <v>8.9447236180904513E-2</v>
      </c>
      <c r="M85">
        <f t="shared" si="21"/>
        <v>8.9447236180904513E-2</v>
      </c>
      <c r="N85">
        <f t="shared" si="21"/>
        <v>8.9447236180904513E-2</v>
      </c>
      <c r="O85">
        <f t="shared" si="21"/>
        <v>8.9447236180904513E-2</v>
      </c>
      <c r="P85">
        <f t="shared" si="21"/>
        <v>8.9447236180904513E-2</v>
      </c>
      <c r="Q85">
        <f t="shared" si="21"/>
        <v>8.9447236180904513E-2</v>
      </c>
      <c r="R85">
        <f t="shared" si="21"/>
        <v>8.9447236180904513E-2</v>
      </c>
      <c r="S85">
        <f t="shared" si="21"/>
        <v>8.9447236180904513E-2</v>
      </c>
      <c r="T85">
        <f t="shared" si="21"/>
        <v>8.9447236180904513E-2</v>
      </c>
      <c r="U85">
        <f t="shared" si="21"/>
        <v>8.9447236180904513E-2</v>
      </c>
      <c r="V85">
        <f t="shared" si="21"/>
        <v>8.9447236180904513E-2</v>
      </c>
      <c r="W85">
        <f t="shared" si="21"/>
        <v>8.9447236180904513E-2</v>
      </c>
    </row>
    <row r="87" spans="8:23" x14ac:dyDescent="0.35">
      <c r="H87" s="2">
        <f>H76*H65</f>
        <v>1.5919597989949748E-3</v>
      </c>
      <c r="I87" s="2">
        <f t="shared" ref="I87:W87" si="22">I76*I65</f>
        <v>-5.3065326633165819E-4</v>
      </c>
      <c r="J87" s="2">
        <f t="shared" si="22"/>
        <v>5.3065326633165823E-3</v>
      </c>
      <c r="K87" s="2">
        <f t="shared" si="22"/>
        <v>-7.9597989949748722E-3</v>
      </c>
      <c r="L87" s="2">
        <f t="shared" si="22"/>
        <v>-3.0512562814070348E-3</v>
      </c>
      <c r="M87" s="2">
        <f t="shared" si="22"/>
        <v>1.0613065326633164E-3</v>
      </c>
      <c r="N87" s="2">
        <f t="shared" si="22"/>
        <v>1.3266331658291455E-4</v>
      </c>
      <c r="O87" s="2">
        <f t="shared" si="22"/>
        <v>-1.7246231155778891E-3</v>
      </c>
      <c r="P87" s="2">
        <f t="shared" si="22"/>
        <v>-7.9597989949748739E-4</v>
      </c>
      <c r="Q87" s="2">
        <f t="shared" si="22"/>
        <v>-1.5919597989949748E-3</v>
      </c>
      <c r="R87" s="2">
        <f t="shared" si="22"/>
        <v>-5.3065326633165819E-4</v>
      </c>
      <c r="S87" s="2">
        <f t="shared" si="22"/>
        <v>-2.6532663316582909E-4</v>
      </c>
      <c r="T87" s="2">
        <f t="shared" si="22"/>
        <v>-6.6331658291457279E-4</v>
      </c>
      <c r="U87" s="2">
        <f t="shared" si="22"/>
        <v>-2.6532663316582912E-3</v>
      </c>
      <c r="V87" s="2">
        <f t="shared" si="22"/>
        <v>1.3266331658291455E-4</v>
      </c>
      <c r="W87" s="2">
        <f t="shared" si="22"/>
        <v>-1.3266331658291455E-4</v>
      </c>
    </row>
    <row r="88" spans="8:23" x14ac:dyDescent="0.35">
      <c r="H88" s="2">
        <f t="shared" ref="H88:W88" si="23">H77*H66</f>
        <v>-1.6482412060301508E-3</v>
      </c>
      <c r="I88" s="2">
        <f t="shared" si="23"/>
        <v>3.5437185929648239E-3</v>
      </c>
      <c r="J88" s="2">
        <f t="shared" si="23"/>
        <v>-6.5929648241206036E-4</v>
      </c>
      <c r="K88" s="2">
        <f t="shared" si="23"/>
        <v>-3.2140703517587938E-3</v>
      </c>
      <c r="L88" s="2">
        <f t="shared" si="23"/>
        <v>-1.8130653266331656E-3</v>
      </c>
      <c r="M88" s="2">
        <f t="shared" si="23"/>
        <v>8.2412060301507539E-4</v>
      </c>
      <c r="N88" s="2">
        <f t="shared" si="23"/>
        <v>-6.5929648241206036E-4</v>
      </c>
      <c r="O88" s="2">
        <f t="shared" si="23"/>
        <v>-5.7688442211055273E-4</v>
      </c>
      <c r="P88" s="2">
        <f t="shared" si="23"/>
        <v>-6.5929648241206036E-4</v>
      </c>
      <c r="Q88" s="2">
        <f t="shared" si="23"/>
        <v>-1.565829145728643E-3</v>
      </c>
      <c r="R88" s="2">
        <f t="shared" si="23"/>
        <v>-2.4723618090452261E-4</v>
      </c>
      <c r="S88" s="2">
        <f t="shared" si="23"/>
        <v>-5.7688442211055273E-4</v>
      </c>
      <c r="T88" s="2">
        <f t="shared" si="23"/>
        <v>0</v>
      </c>
      <c r="U88" s="2">
        <f t="shared" si="23"/>
        <v>8.2412060301507544E-5</v>
      </c>
      <c r="V88" s="2">
        <f t="shared" si="23"/>
        <v>-1.1537688442211055E-3</v>
      </c>
      <c r="W88" s="2">
        <f t="shared" si="23"/>
        <v>-1.8954773869346733E-3</v>
      </c>
    </row>
    <row r="89" spans="8:23" x14ac:dyDescent="0.35">
      <c r="H89" s="2">
        <f t="shared" ref="H89:W89" si="24">H78*H67</f>
        <v>-3.7718592964824122E-3</v>
      </c>
      <c r="I89" s="2">
        <f t="shared" si="24"/>
        <v>0</v>
      </c>
      <c r="J89" s="2">
        <f t="shared" si="24"/>
        <v>1.1175879396984924E-3</v>
      </c>
      <c r="K89" s="2">
        <f t="shared" si="24"/>
        <v>-2.2351758793969848E-3</v>
      </c>
      <c r="L89" s="2">
        <f t="shared" si="24"/>
        <v>-2.5145728643216078E-3</v>
      </c>
      <c r="M89" s="2">
        <f t="shared" si="24"/>
        <v>-9.7788944723618083E-4</v>
      </c>
      <c r="N89" s="2">
        <f t="shared" si="24"/>
        <v>-9.7788944723618083E-4</v>
      </c>
      <c r="O89" s="2">
        <f t="shared" si="24"/>
        <v>-1.9557788944723617E-3</v>
      </c>
      <c r="P89" s="2">
        <f t="shared" si="24"/>
        <v>-1.3969849246231157E-3</v>
      </c>
      <c r="Q89" s="2">
        <f t="shared" si="24"/>
        <v>-9.7788944723618083E-4</v>
      </c>
      <c r="R89" s="2">
        <f t="shared" si="24"/>
        <v>-2.7939698492462309E-4</v>
      </c>
      <c r="S89" s="2">
        <f t="shared" si="24"/>
        <v>-9.7788944723618083E-4</v>
      </c>
      <c r="T89" s="2">
        <f t="shared" si="24"/>
        <v>5.5879396984924619E-4</v>
      </c>
      <c r="U89" s="2">
        <f t="shared" si="24"/>
        <v>-1.1175879396984924E-3</v>
      </c>
      <c r="V89" s="2">
        <f t="shared" si="24"/>
        <v>-8.3819095477386939E-4</v>
      </c>
      <c r="W89" s="2">
        <f t="shared" si="24"/>
        <v>-3.6321608040201002E-3</v>
      </c>
    </row>
    <row r="90" spans="8:23" x14ac:dyDescent="0.35">
      <c r="H90" s="2">
        <f t="shared" ref="H90:W90" si="25">H79*H68</f>
        <v>3.5678391959798988E-4</v>
      </c>
      <c r="I90" s="2">
        <f t="shared" si="25"/>
        <v>-1.7839195979899494E-3</v>
      </c>
      <c r="J90" s="2">
        <f t="shared" si="25"/>
        <v>-9.9899497487437156E-4</v>
      </c>
      <c r="K90" s="2">
        <f t="shared" si="25"/>
        <v>0</v>
      </c>
      <c r="L90" s="2">
        <f t="shared" si="25"/>
        <v>6.4221105527638173E-4</v>
      </c>
      <c r="M90" s="2">
        <f t="shared" si="25"/>
        <v>2.8542713567839191E-4</v>
      </c>
      <c r="N90" s="2">
        <f t="shared" si="25"/>
        <v>2.8542713567839191E-4</v>
      </c>
      <c r="O90" s="2">
        <f t="shared" si="25"/>
        <v>-2.8542713567839191E-4</v>
      </c>
      <c r="P90" s="2">
        <f t="shared" si="25"/>
        <v>-4.2814070351758786E-4</v>
      </c>
      <c r="Q90" s="2">
        <f t="shared" si="25"/>
        <v>-2.1407035175879393E-4</v>
      </c>
      <c r="R90" s="2">
        <f t="shared" si="25"/>
        <v>-6.4221105527638173E-4</v>
      </c>
      <c r="S90" s="2">
        <f t="shared" si="25"/>
        <v>-1.1417085427135676E-3</v>
      </c>
      <c r="T90" s="2">
        <f t="shared" si="25"/>
        <v>7.1356783919597976E-5</v>
      </c>
      <c r="U90" s="2">
        <f t="shared" si="25"/>
        <v>0</v>
      </c>
      <c r="V90" s="2">
        <f t="shared" si="25"/>
        <v>0</v>
      </c>
      <c r="W90" s="2">
        <f t="shared" si="25"/>
        <v>-7.8492462311557769E-4</v>
      </c>
    </row>
    <row r="91" spans="8:23" x14ac:dyDescent="0.35">
      <c r="H91" s="2">
        <f t="shared" ref="H91:W91" si="26">H80*H69</f>
        <v>-6.7839195979899482E-4</v>
      </c>
      <c r="I91" s="2">
        <f t="shared" si="26"/>
        <v>-1.9597989949748742E-3</v>
      </c>
      <c r="J91" s="2">
        <f t="shared" si="26"/>
        <v>7.5376884422110544E-5</v>
      </c>
      <c r="K91" s="2">
        <f t="shared" si="26"/>
        <v>-3.3919597989949743E-3</v>
      </c>
      <c r="L91" s="2">
        <f t="shared" si="26"/>
        <v>-1.1306532663316582E-3</v>
      </c>
      <c r="M91" s="2">
        <f t="shared" si="26"/>
        <v>-9.0452261306532653E-4</v>
      </c>
      <c r="N91" s="2">
        <f t="shared" si="26"/>
        <v>1.5075376884422109E-4</v>
      </c>
      <c r="O91" s="2">
        <f t="shared" si="26"/>
        <v>-1.6582914572864319E-3</v>
      </c>
      <c r="P91" s="2">
        <f t="shared" si="26"/>
        <v>5.2763819095477378E-4</v>
      </c>
      <c r="Q91" s="2">
        <f t="shared" si="26"/>
        <v>-6.0301507537688435E-4</v>
      </c>
      <c r="R91" s="2">
        <f t="shared" si="26"/>
        <v>-9.798994974874371E-4</v>
      </c>
      <c r="S91" s="2">
        <f t="shared" si="26"/>
        <v>4.5226130653266326E-4</v>
      </c>
      <c r="T91" s="2">
        <f t="shared" si="26"/>
        <v>8.2914572864321596E-4</v>
      </c>
      <c r="U91" s="2">
        <f t="shared" si="26"/>
        <v>-1.7336683417085426E-3</v>
      </c>
      <c r="V91" s="2">
        <f t="shared" si="26"/>
        <v>-1.8090452261306531E-3</v>
      </c>
      <c r="W91" s="2">
        <f t="shared" si="26"/>
        <v>-9.798994974874371E-4</v>
      </c>
    </row>
    <row r="92" spans="8:23" x14ac:dyDescent="0.35">
      <c r="H92" s="2">
        <f t="shared" ref="H92:W92" si="27">H81*H70</f>
        <v>2.0984924623115575E-3</v>
      </c>
      <c r="I92" s="2">
        <f t="shared" si="27"/>
        <v>-9.3266331658291464E-4</v>
      </c>
      <c r="J92" s="2">
        <f t="shared" si="27"/>
        <v>2.4482412060301507E-3</v>
      </c>
      <c r="K92" s="2">
        <f t="shared" si="27"/>
        <v>-3.614070351758794E-3</v>
      </c>
      <c r="L92" s="2">
        <f t="shared" si="27"/>
        <v>-5.2462311557788946E-3</v>
      </c>
      <c r="M92" s="2">
        <f t="shared" si="27"/>
        <v>-2.3316582914572866E-4</v>
      </c>
      <c r="N92" s="2">
        <f t="shared" si="27"/>
        <v>-1.0492462311557788E-3</v>
      </c>
      <c r="O92" s="2">
        <f t="shared" si="27"/>
        <v>-1.6321608040201006E-3</v>
      </c>
      <c r="P92" s="2">
        <f t="shared" si="27"/>
        <v>-1.6321608040201006E-3</v>
      </c>
      <c r="Q92" s="2">
        <f t="shared" si="27"/>
        <v>-3.4974874371859299E-4</v>
      </c>
      <c r="R92" s="2">
        <f t="shared" si="27"/>
        <v>-3.0311557788944721E-3</v>
      </c>
      <c r="S92" s="2">
        <f t="shared" si="27"/>
        <v>1.398994974874372E-3</v>
      </c>
      <c r="T92" s="2">
        <f t="shared" si="27"/>
        <v>-2.3316582914572866E-4</v>
      </c>
      <c r="U92" s="2">
        <f t="shared" si="27"/>
        <v>-9.3266331658291464E-4</v>
      </c>
      <c r="V92" s="2">
        <f t="shared" si="27"/>
        <v>1.2824120603015074E-3</v>
      </c>
      <c r="W92" s="2">
        <f t="shared" si="27"/>
        <v>-4.6633165829145732E-3</v>
      </c>
    </row>
    <row r="93" spans="8:23" x14ac:dyDescent="0.35">
      <c r="H93" s="2">
        <f t="shared" ref="H93:W93" si="28">H82*H71</f>
        <v>-1.1658291457286429E-3</v>
      </c>
      <c r="I93" s="2">
        <f t="shared" si="28"/>
        <v>-5.8291457286432143E-4</v>
      </c>
      <c r="J93" s="2">
        <f t="shared" si="28"/>
        <v>-2.040201005025125E-3</v>
      </c>
      <c r="K93" s="2">
        <f t="shared" si="28"/>
        <v>-2.9145728643216076E-3</v>
      </c>
      <c r="L93" s="2">
        <f t="shared" si="28"/>
        <v>-1.6030150753768839E-3</v>
      </c>
      <c r="M93" s="2">
        <f t="shared" si="28"/>
        <v>-8.7437185929648226E-4</v>
      </c>
      <c r="N93" s="2">
        <f t="shared" si="28"/>
        <v>-1.3115577889447232E-3</v>
      </c>
      <c r="O93" s="2">
        <f t="shared" si="28"/>
        <v>-2.9145728643216072E-4</v>
      </c>
      <c r="P93" s="2">
        <f t="shared" si="28"/>
        <v>-1.3115577889447232E-3</v>
      </c>
      <c r="Q93" s="2">
        <f t="shared" si="28"/>
        <v>-1.1658291457286429E-3</v>
      </c>
      <c r="R93" s="2">
        <f t="shared" si="28"/>
        <v>-1.1658291457286429E-3</v>
      </c>
      <c r="S93" s="2">
        <f t="shared" si="28"/>
        <v>1.0201005025125625E-3</v>
      </c>
      <c r="T93" s="2">
        <f t="shared" si="28"/>
        <v>2.9145728643216072E-4</v>
      </c>
      <c r="U93" s="2">
        <f t="shared" si="28"/>
        <v>-4.3718592964824113E-4</v>
      </c>
      <c r="V93" s="2">
        <f t="shared" si="28"/>
        <v>-4.3718592964824113E-4</v>
      </c>
      <c r="W93" s="2">
        <f t="shared" si="28"/>
        <v>-4.3718592964824113E-4</v>
      </c>
    </row>
    <row r="94" spans="8:23" x14ac:dyDescent="0.35">
      <c r="H94" s="2">
        <f t="shared" ref="H94:W94" si="29">H83*H72</f>
        <v>-9.1658291457286426E-4</v>
      </c>
      <c r="I94" s="2">
        <f t="shared" si="29"/>
        <v>-2.9788944723618087E-3</v>
      </c>
      <c r="J94" s="2">
        <f t="shared" si="29"/>
        <v>2.5206030150753769E-3</v>
      </c>
      <c r="K94" s="2">
        <f t="shared" si="29"/>
        <v>-1.1457286432160802E-3</v>
      </c>
      <c r="L94" s="2">
        <f t="shared" si="29"/>
        <v>2.2914572864321606E-4</v>
      </c>
      <c r="M94" s="2">
        <f t="shared" si="29"/>
        <v>6.1105527638190954E-4</v>
      </c>
      <c r="N94" s="2">
        <f t="shared" si="29"/>
        <v>-2.2150753768844221E-3</v>
      </c>
      <c r="O94" s="2">
        <f t="shared" si="29"/>
        <v>-6.1105527638190954E-4</v>
      </c>
      <c r="P94" s="2">
        <f t="shared" si="29"/>
        <v>8.4020100502512545E-4</v>
      </c>
      <c r="Q94" s="2">
        <f t="shared" si="29"/>
        <v>-2.2150753768844221E-3</v>
      </c>
      <c r="R94" s="2">
        <f t="shared" si="29"/>
        <v>0</v>
      </c>
      <c r="S94" s="2">
        <f t="shared" si="29"/>
        <v>-2.2914572864321606E-4</v>
      </c>
      <c r="T94" s="2">
        <f t="shared" si="29"/>
        <v>3.8190954773869342E-4</v>
      </c>
      <c r="U94" s="2">
        <f t="shared" si="29"/>
        <v>0</v>
      </c>
      <c r="V94" s="2">
        <f t="shared" si="29"/>
        <v>1.5276381909547739E-4</v>
      </c>
      <c r="W94" s="2">
        <f t="shared" si="29"/>
        <v>-7.6381909547738693E-5</v>
      </c>
    </row>
    <row r="95" spans="8:23" x14ac:dyDescent="0.35">
      <c r="H95" s="2">
        <f t="shared" ref="H95:W95" si="30">H84*H73</f>
        <v>2.1105527638190955E-4</v>
      </c>
      <c r="I95" s="2">
        <f t="shared" si="30"/>
        <v>1.4070351758793971E-4</v>
      </c>
      <c r="J95" s="2">
        <f t="shared" si="30"/>
        <v>1.1256281407035177E-3</v>
      </c>
      <c r="K95" s="2">
        <f t="shared" si="30"/>
        <v>-1.4773869346733669E-3</v>
      </c>
      <c r="L95" s="2">
        <f t="shared" si="30"/>
        <v>-4.221105527638191E-4</v>
      </c>
      <c r="M95" s="2">
        <f t="shared" si="30"/>
        <v>0</v>
      </c>
      <c r="N95" s="2">
        <f t="shared" si="30"/>
        <v>-1.407035175879397E-3</v>
      </c>
      <c r="O95" s="2">
        <f t="shared" si="30"/>
        <v>4.221105527638191E-4</v>
      </c>
      <c r="P95" s="2">
        <f t="shared" si="30"/>
        <v>-1.1256281407035177E-3</v>
      </c>
      <c r="Q95" s="2">
        <f t="shared" si="30"/>
        <v>7.0351758793969855E-5</v>
      </c>
      <c r="R95" s="2">
        <f t="shared" si="30"/>
        <v>1.4070351758793971E-4</v>
      </c>
      <c r="S95" s="2">
        <f t="shared" si="30"/>
        <v>0</v>
      </c>
      <c r="T95" s="2">
        <f t="shared" si="30"/>
        <v>7.0351758793969855E-5</v>
      </c>
      <c r="U95" s="2">
        <f t="shared" si="30"/>
        <v>-4.221105527638191E-4</v>
      </c>
      <c r="V95" s="2">
        <f t="shared" si="30"/>
        <v>-2.1105527638190955E-4</v>
      </c>
      <c r="W95" s="2">
        <f t="shared" si="30"/>
        <v>-7.0351758793969855E-5</v>
      </c>
    </row>
    <row r="96" spans="8:23" x14ac:dyDescent="0.35">
      <c r="H96" s="2">
        <f t="shared" ref="H96:W96" si="31">H85*H74</f>
        <v>-1.7889447236180904E-3</v>
      </c>
      <c r="I96" s="2">
        <f t="shared" si="31"/>
        <v>-1.9678391959798993E-3</v>
      </c>
      <c r="J96" s="2">
        <f t="shared" si="31"/>
        <v>8.0502512562814061E-4</v>
      </c>
      <c r="K96" s="2">
        <f t="shared" si="31"/>
        <v>-3.2201005025125624E-3</v>
      </c>
      <c r="L96" s="2">
        <f t="shared" si="31"/>
        <v>-1.6994974874371858E-3</v>
      </c>
      <c r="M96" s="2">
        <f t="shared" si="31"/>
        <v>7.1557788944723614E-4</v>
      </c>
      <c r="N96" s="2">
        <f t="shared" si="31"/>
        <v>-8.9447236180904518E-5</v>
      </c>
      <c r="O96" s="2">
        <f t="shared" si="31"/>
        <v>-1.5206030150753769E-3</v>
      </c>
      <c r="P96" s="2">
        <f t="shared" si="31"/>
        <v>-2.6834170854271355E-4</v>
      </c>
      <c r="Q96" s="2">
        <f t="shared" si="31"/>
        <v>-1.6994974874371858E-3</v>
      </c>
      <c r="R96" s="2">
        <f t="shared" si="31"/>
        <v>-8.9447236180904518E-5</v>
      </c>
      <c r="S96" s="2">
        <f t="shared" si="31"/>
        <v>6.2613065326633157E-4</v>
      </c>
      <c r="T96" s="2">
        <f t="shared" si="31"/>
        <v>1.1628140703517586E-3</v>
      </c>
      <c r="U96" s="2">
        <f t="shared" si="31"/>
        <v>-8.9447236180904518E-5</v>
      </c>
      <c r="V96" s="2">
        <f t="shared" si="31"/>
        <v>8.9447236180904518E-4</v>
      </c>
      <c r="W96" s="2">
        <f t="shared" si="31"/>
        <v>-8.0502512562814061E-4</v>
      </c>
    </row>
    <row r="98" spans="6:25" x14ac:dyDescent="0.35">
      <c r="H98" s="2">
        <f t="shared" ref="H98:W98" si="32">SUM(H87:H96)</f>
        <v>-5.7115577889447237E-3</v>
      </c>
      <c r="I98" s="2">
        <f t="shared" si="32"/>
        <v>-7.0522613065326627E-3</v>
      </c>
      <c r="J98" s="2">
        <f t="shared" si="32"/>
        <v>9.7005025125628148E-3</v>
      </c>
      <c r="K98" s="2">
        <f t="shared" si="32"/>
        <v>-2.9172864321608035E-2</v>
      </c>
      <c r="L98" s="2">
        <f t="shared" si="32"/>
        <v>-1.6609045226130655E-2</v>
      </c>
      <c r="M98" s="2">
        <f t="shared" si="32"/>
        <v>5.0753768844221108E-4</v>
      </c>
      <c r="N98" s="2">
        <f t="shared" si="32"/>
        <v>-7.1407035175879395E-3</v>
      </c>
      <c r="O98" s="2">
        <f t="shared" si="32"/>
        <v>-9.8341708542713565E-3</v>
      </c>
      <c r="P98" s="2">
        <f t="shared" si="32"/>
        <v>-6.2502512562814068E-3</v>
      </c>
      <c r="Q98" s="2">
        <f t="shared" si="32"/>
        <v>-1.031256281407035E-2</v>
      </c>
      <c r="R98" s="2">
        <f t="shared" si="32"/>
        <v>-6.8251256281407022E-3</v>
      </c>
      <c r="S98" s="2">
        <f t="shared" si="32"/>
        <v>3.0653266331658291E-4</v>
      </c>
      <c r="T98" s="2">
        <f t="shared" si="32"/>
        <v>2.4693467336683412E-3</v>
      </c>
      <c r="U98" s="2">
        <f t="shared" si="32"/>
        <v>-7.3035175879396967E-3</v>
      </c>
      <c r="V98" s="2">
        <f t="shared" si="32"/>
        <v>-1.9869346733668342E-3</v>
      </c>
      <c r="W98" s="2">
        <f t="shared" si="32"/>
        <v>-1.3477386934673366E-2</v>
      </c>
      <c r="Y98" s="2">
        <f>SUM(H98:W98)</f>
        <v>-0.10869246231155777</v>
      </c>
    </row>
    <row r="99" spans="6:25" x14ac:dyDescent="0.35"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6:25" x14ac:dyDescent="0.35">
      <c r="H100" s="2">
        <f>H98</f>
        <v>-5.7115577889447237E-3</v>
      </c>
      <c r="I100" s="2">
        <f>H100+I98</f>
        <v>-1.2763819095477386E-2</v>
      </c>
      <c r="J100" s="2">
        <f t="shared" ref="J100" si="33">I100+J98</f>
        <v>-3.0633165829145707E-3</v>
      </c>
      <c r="K100" s="2">
        <f t="shared" ref="K100" si="34">J100+K98</f>
        <v>-3.2236180904522606E-2</v>
      </c>
      <c r="L100" s="2">
        <f t="shared" ref="L100" si="35">K100+L98</f>
        <v>-4.8845226130653258E-2</v>
      </c>
      <c r="M100" s="2">
        <f t="shared" ref="M100" si="36">L100+M98</f>
        <v>-4.8337688442211049E-2</v>
      </c>
      <c r="N100" s="2">
        <f t="shared" ref="N100" si="37">M100+N98</f>
        <v>-5.5478391959798992E-2</v>
      </c>
      <c r="O100" s="2">
        <f t="shared" ref="O100" si="38">N100+O98</f>
        <v>-6.5312562814070343E-2</v>
      </c>
      <c r="P100" s="2">
        <f t="shared" ref="P100" si="39">O100+P98</f>
        <v>-7.1562814070351755E-2</v>
      </c>
      <c r="Q100" s="2">
        <f t="shared" ref="Q100" si="40">P100+Q98</f>
        <v>-8.1875376884422105E-2</v>
      </c>
      <c r="R100" s="2">
        <f t="shared" ref="R100" si="41">Q100+R98</f>
        <v>-8.8700502512562812E-2</v>
      </c>
      <c r="S100" s="2">
        <f t="shared" ref="S100" si="42">R100+S98</f>
        <v>-8.8393969849246232E-2</v>
      </c>
      <c r="T100" s="2">
        <f t="shared" ref="T100" si="43">S100+T98</f>
        <v>-8.5924623115577886E-2</v>
      </c>
      <c r="U100" s="2">
        <f t="shared" ref="U100" si="44">T100+U98</f>
        <v>-9.3228140703517579E-2</v>
      </c>
      <c r="V100" s="2">
        <f t="shared" ref="V100" si="45">U100+V98</f>
        <v>-9.5215075376884409E-2</v>
      </c>
      <c r="W100" s="2">
        <f t="shared" ref="W100" si="46">V100+W98</f>
        <v>-0.10869246231155777</v>
      </c>
    </row>
    <row r="101" spans="6:25" x14ac:dyDescent="0.35"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6:25" x14ac:dyDescent="0.35"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6:25" x14ac:dyDescent="0.35"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6:25" x14ac:dyDescent="0.35">
      <c r="H104" s="16" t="s">
        <v>37</v>
      </c>
      <c r="I104" s="16"/>
      <c r="J104" s="16"/>
      <c r="K104" s="16"/>
      <c r="L104" s="16"/>
      <c r="M104" s="16"/>
      <c r="N104" s="16"/>
      <c r="O104" s="2"/>
      <c r="P104" s="2"/>
      <c r="Q104" s="2"/>
      <c r="R104" s="2"/>
      <c r="S104" s="2"/>
      <c r="T104" s="2"/>
      <c r="U104" s="2"/>
      <c r="V104" s="2"/>
      <c r="W104" s="2"/>
    </row>
    <row r="105" spans="6:25" x14ac:dyDescent="0.35"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6:25" x14ac:dyDescent="0.35">
      <c r="H106" s="2">
        <f>H59-H100</f>
        <v>6.7366834170854272E-3</v>
      </c>
      <c r="I106" s="2">
        <f t="shared" ref="I106:W106" si="47">I59-I100</f>
        <v>2.0195979899497486E-2</v>
      </c>
      <c r="J106" s="2">
        <f t="shared" si="47"/>
        <v>1.6852261306532661E-2</v>
      </c>
      <c r="K106" s="2">
        <f t="shared" si="47"/>
        <v>1.1364824120603013E-2</v>
      </c>
      <c r="L106" s="2">
        <f t="shared" si="47"/>
        <v>8.4402010050251275E-3</v>
      </c>
      <c r="M106" s="2">
        <f t="shared" si="47"/>
        <v>1.4459296482412065E-2</v>
      </c>
      <c r="N106" s="2">
        <f t="shared" si="47"/>
        <v>8.1145728643216147E-3</v>
      </c>
      <c r="O106" s="2">
        <f t="shared" si="47"/>
        <v>1.2313567839195981E-2</v>
      </c>
      <c r="P106" s="2">
        <f t="shared" si="47"/>
        <v>1.7422110552763825E-2</v>
      </c>
      <c r="Q106" s="2">
        <f t="shared" si="47"/>
        <v>1.6944723618090449E-2</v>
      </c>
      <c r="R106" s="2">
        <f t="shared" si="47"/>
        <v>2.1710552763819099E-2</v>
      </c>
      <c r="S106" s="2">
        <f t="shared" si="47"/>
        <v>2.3339698492462313E-2</v>
      </c>
      <c r="T106" s="2">
        <f t="shared" si="47"/>
        <v>2.2547738693467337E-2</v>
      </c>
      <c r="U106" s="2">
        <f t="shared" si="47"/>
        <v>2.3918592964824112E-2</v>
      </c>
      <c r="V106" s="2">
        <f t="shared" si="47"/>
        <v>2.7836180904522598E-2</v>
      </c>
      <c r="W106" s="2">
        <f t="shared" si="47"/>
        <v>2.5933668341708516E-2</v>
      </c>
    </row>
    <row r="107" spans="6:25" x14ac:dyDescent="0.35"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6:25" x14ac:dyDescent="0.35">
      <c r="H108" s="15" t="s">
        <v>38</v>
      </c>
      <c r="I108" s="15"/>
      <c r="J108" s="15"/>
      <c r="K108" s="15"/>
      <c r="L108" s="15"/>
      <c r="M108" s="15"/>
      <c r="N108" s="15"/>
    </row>
    <row r="109" spans="6:25" x14ac:dyDescent="0.35">
      <c r="H109" s="12"/>
      <c r="I109" s="12"/>
      <c r="J109" s="12"/>
      <c r="K109" s="12"/>
      <c r="L109" s="12"/>
      <c r="M109" s="12"/>
      <c r="N109" s="12"/>
    </row>
    <row r="110" spans="6:25" x14ac:dyDescent="0.35">
      <c r="F110" t="s">
        <v>39</v>
      </c>
      <c r="G110">
        <v>0.254</v>
      </c>
      <c r="H110" s="14">
        <f>0.254+H59</f>
        <v>0.25502512562814073</v>
      </c>
      <c r="I110" s="14">
        <f t="shared" ref="I110:W110" si="48">0.254+I59</f>
        <v>0.2614321608040201</v>
      </c>
      <c r="J110" s="14">
        <f t="shared" si="48"/>
        <v>0.26778894472361808</v>
      </c>
      <c r="K110" s="14">
        <f t="shared" si="48"/>
        <v>0.2331286432160804</v>
      </c>
      <c r="L110" s="14">
        <f t="shared" si="48"/>
        <v>0.21359497487437187</v>
      </c>
      <c r="M110" s="14">
        <f t="shared" si="48"/>
        <v>0.22012160804020103</v>
      </c>
      <c r="N110" s="14">
        <f t="shared" si="48"/>
        <v>0.20663618090452263</v>
      </c>
      <c r="O110" s="14">
        <f t="shared" si="48"/>
        <v>0.20100100502512563</v>
      </c>
      <c r="P110" s="14">
        <f t="shared" si="48"/>
        <v>0.19985929648241207</v>
      </c>
      <c r="Q110" s="14">
        <f t="shared" si="48"/>
        <v>0.18906934673366835</v>
      </c>
      <c r="R110" s="14">
        <f t="shared" si="48"/>
        <v>0.18701005025125628</v>
      </c>
      <c r="S110" s="14">
        <f t="shared" si="48"/>
        <v>0.18894572864321607</v>
      </c>
      <c r="T110" s="14">
        <f t="shared" si="48"/>
        <v>0.19062311557788947</v>
      </c>
      <c r="U110" s="14">
        <f t="shared" si="48"/>
        <v>0.18469045226130654</v>
      </c>
      <c r="V110" s="14">
        <f t="shared" si="48"/>
        <v>0.18662110552763819</v>
      </c>
      <c r="W110" s="14">
        <f t="shared" si="48"/>
        <v>0.17124120603015075</v>
      </c>
    </row>
    <row r="111" spans="6:25" x14ac:dyDescent="0.35"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6:25" x14ac:dyDescent="0.35">
      <c r="F112" t="s">
        <v>40</v>
      </c>
      <c r="G112">
        <v>0.254</v>
      </c>
      <c r="H112" s="2">
        <f>0.254+H106</f>
        <v>0.26073668341708545</v>
      </c>
      <c r="I112" s="2">
        <f t="shared" ref="I112:W112" si="49">0.254+I106</f>
        <v>0.27419597989949751</v>
      </c>
      <c r="J112" s="2">
        <f t="shared" si="49"/>
        <v>0.27085226130653267</v>
      </c>
      <c r="K112" s="2">
        <f t="shared" si="49"/>
        <v>0.26536482412060303</v>
      </c>
      <c r="L112" s="2">
        <f t="shared" si="49"/>
        <v>0.26244020100502513</v>
      </c>
      <c r="M112" s="2">
        <f t="shared" si="49"/>
        <v>0.26845929648241207</v>
      </c>
      <c r="N112" s="2">
        <f t="shared" si="49"/>
        <v>0.2621145728643216</v>
      </c>
      <c r="O112" s="2">
        <f t="shared" si="49"/>
        <v>0.26631356783919596</v>
      </c>
      <c r="P112" s="2">
        <f t="shared" si="49"/>
        <v>0.27142211055276383</v>
      </c>
      <c r="Q112" s="2">
        <f t="shared" si="49"/>
        <v>0.27094472361809047</v>
      </c>
      <c r="R112" s="2">
        <f t="shared" si="49"/>
        <v>0.27571055276381912</v>
      </c>
      <c r="S112" s="2">
        <f t="shared" si="49"/>
        <v>0.27733969849246232</v>
      </c>
      <c r="T112" s="2">
        <f t="shared" si="49"/>
        <v>0.27654773869346733</v>
      </c>
      <c r="U112" s="2">
        <f t="shared" si="49"/>
        <v>0.27791859296482413</v>
      </c>
      <c r="V112" s="2">
        <f t="shared" si="49"/>
        <v>0.28183618090452262</v>
      </c>
      <c r="W112" s="2">
        <f t="shared" si="49"/>
        <v>0.27993366834170852</v>
      </c>
    </row>
    <row r="113" spans="8:23" x14ac:dyDescent="0.35"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8:23" x14ac:dyDescent="0.35"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8:23" x14ac:dyDescent="0.35"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8:23" x14ac:dyDescent="0.35"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8:23" x14ac:dyDescent="0.35"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8:23" x14ac:dyDescent="0.3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8:23" x14ac:dyDescent="0.3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8:23" x14ac:dyDescent="0.3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2" spans="8:23" x14ac:dyDescent="0.3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8:23" x14ac:dyDescent="0.3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8:23" x14ac:dyDescent="0.3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8:23" x14ac:dyDescent="0.3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8:23" x14ac:dyDescent="0.3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8:23" x14ac:dyDescent="0.3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8:23" x14ac:dyDescent="0.3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8:25" x14ac:dyDescent="0.3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8:25" x14ac:dyDescent="0.3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8:25" x14ac:dyDescent="0.3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3" spans="8:25" x14ac:dyDescent="0.35">
      <c r="Y133" s="2"/>
    </row>
    <row r="144" spans="8:25" x14ac:dyDescent="0.3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5" x14ac:dyDescent="0.3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5" x14ac:dyDescent="0.3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5" x14ac:dyDescent="0.3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5" x14ac:dyDescent="0.3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5" x14ac:dyDescent="0.3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5" x14ac:dyDescent="0.3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5" x14ac:dyDescent="0.3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5" x14ac:dyDescent="0.3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5" x14ac:dyDescent="0.3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5" spans="1:25" x14ac:dyDescent="0.3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Y155" s="2"/>
    </row>
    <row r="157" spans="1:25" x14ac:dyDescent="0.3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9" spans="1:25" ht="15" customHeight="1" x14ac:dyDescent="0.3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</row>
    <row r="161" spans="2:36" x14ac:dyDescent="0.3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72" spans="2:36" x14ac:dyDescent="0.35">
      <c r="B172" t="s">
        <v>29</v>
      </c>
    </row>
    <row r="173" spans="2:36" x14ac:dyDescent="0.35">
      <c r="C173" s="11">
        <v>68</v>
      </c>
    </row>
    <row r="174" spans="2:36" x14ac:dyDescent="0.35">
      <c r="C174" s="11">
        <v>70</v>
      </c>
    </row>
    <row r="175" spans="2:36" x14ac:dyDescent="0.35">
      <c r="C175" s="11">
        <v>72</v>
      </c>
    </row>
    <row r="176" spans="2:36" x14ac:dyDescent="0.35">
      <c r="C176" s="11">
        <v>69</v>
      </c>
    </row>
    <row r="177" spans="3:3" x14ac:dyDescent="0.35">
      <c r="C177" s="11">
        <v>65</v>
      </c>
    </row>
    <row r="178" spans="3:3" x14ac:dyDescent="0.35">
      <c r="C178" s="11">
        <v>65</v>
      </c>
    </row>
    <row r="179" spans="3:3" x14ac:dyDescent="0.35">
      <c r="C179" s="11">
        <v>65</v>
      </c>
    </row>
    <row r="180" spans="3:3" x14ac:dyDescent="0.35">
      <c r="C180" s="11">
        <v>64</v>
      </c>
    </row>
    <row r="181" spans="3:3" x14ac:dyDescent="0.35">
      <c r="C181" s="11">
        <v>62</v>
      </c>
    </row>
    <row r="182" spans="3:3" x14ac:dyDescent="0.35">
      <c r="C182" s="11">
        <v>61</v>
      </c>
    </row>
    <row r="183" spans="3:3" x14ac:dyDescent="0.35">
      <c r="C183" s="11">
        <v>62</v>
      </c>
    </row>
    <row r="184" spans="3:3" x14ac:dyDescent="0.35">
      <c r="C184" s="11">
        <v>62</v>
      </c>
    </row>
    <row r="185" spans="3:3" x14ac:dyDescent="0.35">
      <c r="C185" s="11">
        <v>62</v>
      </c>
    </row>
    <row r="186" spans="3:3" x14ac:dyDescent="0.35">
      <c r="C186" s="11">
        <v>62</v>
      </c>
    </row>
    <row r="187" spans="3:3" x14ac:dyDescent="0.35">
      <c r="C187" s="11">
        <v>61</v>
      </c>
    </row>
    <row r="188" spans="3:3" x14ac:dyDescent="0.35">
      <c r="C188" s="11">
        <v>60</v>
      </c>
    </row>
    <row r="189" spans="3:3" x14ac:dyDescent="0.35">
      <c r="C189" s="11">
        <v>60</v>
      </c>
    </row>
    <row r="190" spans="3:3" x14ac:dyDescent="0.35">
      <c r="C190" s="11"/>
    </row>
    <row r="191" spans="3:3" x14ac:dyDescent="0.35">
      <c r="C191" s="11"/>
    </row>
    <row r="192" spans="3:3" x14ac:dyDescent="0.35">
      <c r="C192" s="11"/>
    </row>
    <row r="193" spans="3:3" x14ac:dyDescent="0.35">
      <c r="C193" s="11"/>
    </row>
    <row r="194" spans="3:3" x14ac:dyDescent="0.35">
      <c r="C194" s="11"/>
    </row>
    <row r="195" spans="3:3" x14ac:dyDescent="0.35">
      <c r="C195" s="11"/>
    </row>
    <row r="196" spans="3:3" x14ac:dyDescent="0.35">
      <c r="C196" s="11"/>
    </row>
  </sheetData>
  <mergeCells count="11">
    <mergeCell ref="AD1:AE1"/>
    <mergeCell ref="A159:Q159"/>
    <mergeCell ref="A6:A17"/>
    <mergeCell ref="K2:W2"/>
    <mergeCell ref="A1:A5"/>
    <mergeCell ref="AA2:AB2"/>
    <mergeCell ref="Z1:AB1"/>
    <mergeCell ref="D21:H21"/>
    <mergeCell ref="D62:H62"/>
    <mergeCell ref="H104:N104"/>
    <mergeCell ref="H108:N108"/>
  </mergeCells>
  <pageMargins left="0.7" right="0.7" top="0.75" bottom="0.75" header="0.3" footer="0.3"/>
  <pageSetup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Chart1</vt:lpstr>
      <vt:lpstr>Chart2</vt:lpstr>
      <vt:lpstr>Chart3</vt:lpstr>
      <vt:lpstr>Sheet2!Print_Area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jordij</dc:creator>
  <cp:lastModifiedBy>Doraszelski, Ulrich</cp:lastModifiedBy>
  <cp:lastPrinted>2017-01-24T14:36:53Z</cp:lastPrinted>
  <dcterms:created xsi:type="dcterms:W3CDTF">2015-10-19T13:47:19Z</dcterms:created>
  <dcterms:modified xsi:type="dcterms:W3CDTF">2017-02-05T18:14:01Z</dcterms:modified>
</cp:coreProperties>
</file>